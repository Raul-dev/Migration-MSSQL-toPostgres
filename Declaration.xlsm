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Work\SQL\IEAccountingUSDIncome\"/>
    </mc:Choice>
  </mc:AlternateContent>
  <xr:revisionPtr revIDLastSave="0" documentId="13_ncr:1_{019A0D09-DB95-4D95-89AB-97AAC09EB1C8}" xr6:coauthVersionLast="45" xr6:coauthVersionMax="45" xr10:uidLastSave="{00000000-0000-0000-0000-000000000000}"/>
  <bookViews>
    <workbookView xWindow="-23148" yWindow="-900" windowWidth="23256" windowHeight="12576" activeTab="3" xr2:uid="{00000000-000D-0000-FFFF-FFFF00000000}"/>
  </bookViews>
  <sheets>
    <sheet name="str.1" sheetId="1" r:id="rId1"/>
    <sheet name="section.1.1" sheetId="2" r:id="rId2"/>
    <sheet name="section.2.1.1" sheetId="6" r:id="rId3"/>
    <sheet name="Initial" sheetId="8" r:id="rId4"/>
    <sheet name="Income" sheetId="7" r:id="rId5"/>
    <sheet name="PivotIncome" sheetId="10" r:id="rId6"/>
  </sheets>
  <functionGroups builtInGroupCount="19"/>
  <definedNames>
    <definedName name="_xlnm.Print_Area" localSheetId="1">section.1.1!$A$1:$DQ$79</definedName>
    <definedName name="_xlnm.Print_Area" localSheetId="2">section.2.1.1!$A$1:$DQ$82</definedName>
    <definedName name="_xlnm.Print_Area" localSheetId="0">str.1!$A$1:$DR$82</definedName>
  </definedNames>
  <calcPr calcId="191029"/>
  <pivotCaches>
    <pivotCache cacheId="9" r:id="rId7"/>
  </pivotCaches>
  <extLst>
    <ext xmlns:x15="http://schemas.microsoft.com/office/spreadsheetml/2010/11/main" uri="{FCE2AD5D-F65C-4FA6-A056-5C36A1767C68}">
      <x15:dataModel>
        <x15:modelTables>
          <x15:modelTable id="DimDate_cdde5e9f-ad5e-434e-a95f-11f7dbb9d6d9" name="DimDate" connection="SqlServer localhost IEAccountingUSDIncome"/>
          <x15:modelTable id="FactIncome_91b9a1ad-fb83-459c-b3cf-fd471c34dcb8" name="FactIncome" connection="SqlServer localhost IEAccountingUSDIncome"/>
        </x15:modelTables>
        <x15:modelRelationships>
          <x15:modelRelationship fromTable="FactIncome" fromColumn="DateID" toTable="DimDate" toColumn="Date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L2" i="6" l="1"/>
  <c r="C31" i="8" l="1"/>
  <c r="C30" i="8"/>
  <c r="C29" i="8"/>
  <c r="C28" i="8"/>
  <c r="C25" i="8"/>
  <c r="C26" i="8"/>
  <c r="C24" i="8"/>
  <c r="G23" i="8"/>
  <c r="C23" i="8"/>
  <c r="C19" i="8"/>
  <c r="C20" i="8" s="1"/>
  <c r="C21" i="8" s="1"/>
  <c r="C22" i="8" s="1"/>
  <c r="C32" i="8" s="1"/>
  <c r="C15" i="8" l="1"/>
  <c r="C16" i="8" l="1"/>
  <c r="C17" i="8" s="1"/>
  <c r="C18" i="8" s="1"/>
  <c r="C34" i="8" s="1"/>
  <c r="BJ5" i="6"/>
  <c r="BG5" i="6"/>
  <c r="BD5" i="6"/>
  <c r="BA5" i="6"/>
  <c r="AX5" i="6"/>
  <c r="AU5" i="6"/>
  <c r="AR5" i="6"/>
  <c r="AO5" i="6"/>
  <c r="AL5" i="6"/>
  <c r="BS2" i="6"/>
  <c r="BP2" i="6"/>
  <c r="BM2" i="6"/>
  <c r="BJ2" i="6"/>
  <c r="BG2" i="6"/>
  <c r="BD2" i="6"/>
  <c r="BA2" i="6"/>
  <c r="AX2" i="6"/>
  <c r="AU2" i="6"/>
  <c r="AR2" i="6"/>
  <c r="AO2" i="6"/>
  <c r="AL2" i="2"/>
  <c r="AO2" i="2"/>
  <c r="AR2" i="2"/>
  <c r="AU2" i="2"/>
  <c r="AX2" i="2"/>
  <c r="BA2" i="2"/>
  <c r="BD2" i="2"/>
  <c r="BG2" i="2"/>
  <c r="BJ2" i="2"/>
  <c r="BM2" i="2"/>
  <c r="BP2" i="2"/>
  <c r="BS2" i="2"/>
  <c r="AL5" i="2"/>
  <c r="AO5" i="2"/>
  <c r="AR5" i="2"/>
  <c r="AU5" i="2"/>
  <c r="AX5" i="2"/>
  <c r="BA5" i="2"/>
  <c r="BD5" i="2"/>
  <c r="BG5" i="2"/>
  <c r="BJ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qlServer localhost IEAccountingUSDIncome" type="100" refreshedVersion="6" saveData="1">
    <extLst>
      <ext xmlns:x15="http://schemas.microsoft.com/office/spreadsheetml/2010/11/main" uri="{DE250136-89BD-433C-8126-D09CA5730AF9}">
        <x15:connection id="064a4b22-f40f-4b26-89c2-2cbeb78614c9"/>
      </ext>
    </extLst>
  </connection>
  <connection id="2" xr16:uid="{00000000-0015-0000-FFFF-FFFF01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<sst xmlns="http://schemas.openxmlformats.org/spreadsheetml/2006/main" count="516" uniqueCount="188">
  <si>
    <t>Номер корректировки</t>
  </si>
  <si>
    <t>Отчетный год</t>
  </si>
  <si>
    <t>ИНН</t>
  </si>
  <si>
    <t>КПП</t>
  </si>
  <si>
    <t>Стр.</t>
  </si>
  <si>
    <t>(налогоплательщик)</t>
  </si>
  <si>
    <t>.</t>
  </si>
  <si>
    <t>Код вида экономической деятельности по классификатору ОКВЭД</t>
  </si>
  <si>
    <r>
      <t>Представляется в налоговый орган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</si>
  <si>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r>
      <t>Налоговый период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</si>
  <si>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Номер контактного телефона</t>
  </si>
  <si>
    <t>На</t>
  </si>
  <si>
    <t>страницах</t>
  </si>
  <si>
    <t>листах</t>
  </si>
  <si>
    <t>с приложением подтверждающих документов или их копий на</t>
  </si>
  <si>
    <t>Достоверность и полноту сведений, указанных</t>
  </si>
  <si>
    <t>в настоящей декларации, подтверждаю:</t>
  </si>
  <si>
    <t>Заполняется работником налогового органа</t>
  </si>
  <si>
    <t>Сведения о представлении декларации</t>
  </si>
  <si>
    <r>
      <t xml:space="preserve">Данная декларация представлена </t>
    </r>
    <r>
      <rPr>
        <sz val="7.5"/>
        <rFont val="Arial"/>
        <family val="2"/>
        <charset val="204"/>
      </rPr>
      <t>(код)</t>
    </r>
  </si>
  <si>
    <t>1 - налогоплательщик,
2 - представитель налогоплательщика</t>
  </si>
  <si>
    <t>на</t>
  </si>
  <si>
    <t>Дата представления декларации</t>
  </si>
  <si>
    <t>Зарегистрирована за №</t>
  </si>
  <si>
    <t>(наименование организации - представителя налогоплательщика)</t>
  </si>
  <si>
    <t>Подпись</t>
  </si>
  <si>
    <t>Дата</t>
  </si>
  <si>
    <t>Наименование документа,</t>
  </si>
  <si>
    <t>подтверждающего полномочия представителя</t>
  </si>
  <si>
    <t>010</t>
  </si>
  <si>
    <t>Код строки</t>
  </si>
  <si>
    <t>Показатели</t>
  </si>
  <si>
    <t>020</t>
  </si>
  <si>
    <t>030</t>
  </si>
  <si>
    <t>Достоверность и полноту сведений, указанных на данной странице, подтверждаю:</t>
  </si>
  <si>
    <t xml:space="preserve"> (подпись)</t>
  </si>
  <si>
    <t xml:space="preserve"> (дата)</t>
  </si>
  <si>
    <t>040</t>
  </si>
  <si>
    <t>050</t>
  </si>
  <si>
    <t>060</t>
  </si>
  <si>
    <t>070</t>
  </si>
  <si>
    <t>080</t>
  </si>
  <si>
    <t>090</t>
  </si>
  <si>
    <t>0</t>
  </si>
  <si>
    <t>1</t>
  </si>
  <si>
    <t>по данным налогоплательщика</t>
  </si>
  <si>
    <r>
      <t>по месту нахождения (учета)</t>
    </r>
    <r>
      <rPr>
        <sz val="8.5"/>
        <rFont val="Arial"/>
        <family val="2"/>
        <charset val="204"/>
      </rPr>
      <t xml:space="preserve"> </t>
    </r>
    <r>
      <rPr>
        <sz val="7.5"/>
        <rFont val="Arial"/>
        <family val="2"/>
        <charset val="204"/>
      </rPr>
      <t>(код)</t>
    </r>
  </si>
  <si>
    <t>001</t>
  </si>
  <si>
    <t>Форма по КНД 1152017</t>
  </si>
  <si>
    <t>Налоговая декларация по налогу, уплачиваемому</t>
  </si>
  <si>
    <t>в связи с применением упрощенной системы налогообложения</t>
  </si>
  <si>
    <t>Ставка налога (%)</t>
  </si>
  <si>
    <t>-</t>
  </si>
  <si>
    <t>3</t>
  </si>
  <si>
    <t>4</t>
  </si>
  <si>
    <t>2</t>
  </si>
  <si>
    <t xml:space="preserve">Форма реорганизации,  </t>
  </si>
  <si>
    <t>ликвидация(код)</t>
  </si>
  <si>
    <t>/</t>
  </si>
  <si>
    <t>ИНН/КПП реорганизованной</t>
  </si>
  <si>
    <t>организации</t>
  </si>
  <si>
    <t>(фамилия, имя, отчество* полностью)</t>
  </si>
  <si>
    <t>* - отчество при наличии.</t>
  </si>
  <si>
    <t>Фамилия, И.О.*</t>
  </si>
  <si>
    <t>Раздел 1.1. Сумма налога (авансового платежа по налогу), уплачиваемого в связи с применением упрощенной</t>
  </si>
  <si>
    <t>Код по ОКТМО</t>
  </si>
  <si>
    <t>Сумма авансового платежа к уплате по сроку не позднее</t>
  </si>
  <si>
    <t>двадцать пятого апреля отчетного года</t>
  </si>
  <si>
    <t>Значения показателей (в рублях)</t>
  </si>
  <si>
    <t>двадцать пятого июля отчетного года</t>
  </si>
  <si>
    <t>Сумма налога, подлежащая доплате за налоговый</t>
  </si>
  <si>
    <t>период ( календарный год ) по сроку *</t>
  </si>
  <si>
    <t>100</t>
  </si>
  <si>
    <t>110</t>
  </si>
  <si>
    <t>*  для организаций - не познее 31.03 года, следующего за истекшим налоговым периодом;</t>
  </si>
  <si>
    <t>для индивидуальных предпринимателей - не позднее 30.04 года, следующего за истекшим налоговым периодом</t>
  </si>
  <si>
    <t>системы налогообложения (объек налогообложения-доходы), подлежащая уплате (уменьшению),</t>
  </si>
  <si>
    <t xml:space="preserve">Объект налогообложения                                                                                        
1 - доходы
</t>
  </si>
  <si>
    <t>120</t>
  </si>
  <si>
    <t>(объект налогообложения - доходы)</t>
  </si>
  <si>
    <t>101</t>
  </si>
  <si>
    <t>Признак налогоплательщика:</t>
  </si>
  <si>
    <t>вознаграждения физическим лицам;</t>
  </si>
  <si>
    <t>2- индивидуальный предприниматель, не производящий</t>
  </si>
  <si>
    <t>выплаты и иные вознаграждения физическим лицам</t>
  </si>
  <si>
    <t>1- налогоплательщик,производящий выплаты и иные</t>
  </si>
  <si>
    <t>Сумма полученных доходов (налоговая база для исчисления</t>
  </si>
  <si>
    <t>налога (авансового платежа по налогу)) нарастающим итогом:</t>
  </si>
  <si>
    <t>за первый квартал</t>
  </si>
  <si>
    <t>за полугодие</t>
  </si>
  <si>
    <t>111</t>
  </si>
  <si>
    <t>за девять месяцев</t>
  </si>
  <si>
    <t>112</t>
  </si>
  <si>
    <t>за налоговый период</t>
  </si>
  <si>
    <t>113</t>
  </si>
  <si>
    <t>Сумма исчисленного налога (авансового платежа по налогу):</t>
  </si>
  <si>
    <t>(стр.110 х стр.120 / 100 )</t>
  </si>
  <si>
    <t>130</t>
  </si>
  <si>
    <t>(стр.111 х стр.120 / 100 )</t>
  </si>
  <si>
    <t>131</t>
  </si>
  <si>
    <t>(стр.112 х стр.120 / 100 )</t>
  </si>
  <si>
    <t>(стр.113 х стр.120 / 100 )</t>
  </si>
  <si>
    <t>132</t>
  </si>
  <si>
    <t>133</t>
  </si>
  <si>
    <t>Сумма страховых взносов, выплаченных работникам</t>
  </si>
  <si>
    <t>пособий по временной нетрудоспособности и платежей</t>
  </si>
  <si>
    <t>(взносов) по договорам добровольного личного</t>
  </si>
  <si>
    <t>страхования (нарастающим итогом), предусмотренных</t>
  </si>
  <si>
    <t>пунктом 3.1 статьи 346.21 Кодекса, уменьшающая сумму</t>
  </si>
  <si>
    <t>исчисленного за налоговый (отчетный) период налога</t>
  </si>
  <si>
    <t>(авансового платежа по налогу):</t>
  </si>
  <si>
    <t>для стр.102 = "1" : стр.140 &lt;= стр.130/2</t>
  </si>
  <si>
    <t>для стр.102 = "2" : стр.140 &lt;= стр.130</t>
  </si>
  <si>
    <t>140</t>
  </si>
  <si>
    <t>для стр.102 = "1" : стр.141 &lt;= стр.131/2</t>
  </si>
  <si>
    <t>для стр.102 = "2" : стр.141 &lt;= стр.131</t>
  </si>
  <si>
    <t>141</t>
  </si>
  <si>
    <t>142</t>
  </si>
  <si>
    <t>для стр.102 = "1" : стр.142 &lt;= стр.132/2</t>
  </si>
  <si>
    <t>для стр.102 = "2" : стр.142 &lt;= стр.132</t>
  </si>
  <si>
    <t>для стр.102 = "1" : стр.143 &lt;= стр.133/2</t>
  </si>
  <si>
    <t>для стр.102 = "2" : стр.143 &lt;= стр.133</t>
  </si>
  <si>
    <t>143</t>
  </si>
  <si>
    <t>102</t>
  </si>
  <si>
    <t>Приложение № 1
к приказу ФНС России 
от 26.02.2016 № ММВ-7-3/99@</t>
  </si>
  <si>
    <t>Фамилия, И.О.</t>
  </si>
  <si>
    <t>(стр.130 - стр.140 )разд. 2.1.1 - стр.160 разд.2.1.2,                                                                                                                                                                                                                                                           если (стр.130-стр.140) разд.2.1.1 - стр. 160 разд.2.1.2 &gt;= 0</t>
  </si>
  <si>
    <t>( стр.131 - стр.141 ) разд.2.1.1 - стр.161 разд.2.1.2 - стр.020, если</t>
  </si>
  <si>
    <t>( стр.131 - стр.141 ) разд.2.1.1 - стр.161 разд.2.1.2  -  стр.020  &gt;= 0</t>
  </si>
  <si>
    <t>Сумма авансового платежа к уменьшению по сроку не познее                                                                                                                                                                                                                      двадцать пятого июля отчетного года</t>
  </si>
  <si>
    <t>стр.020 - ((стр.131 - стр.141 ) разд.2.1.1 - стр.161 разд.2.1.2), если</t>
  </si>
  <si>
    <t>( стр.131 - стр.141 ) разд.2.1.1 - стр.161 разд.2.1.2 -  стр.020  &lt; 0</t>
  </si>
  <si>
    <t xml:space="preserve">Сумма авансового платежа к уплате по сроку не позднее               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 </t>
  </si>
  <si>
    <t xml:space="preserve">(стр.132 - стр.142 ) разд.2.1.1 - стр.162 разд.2.1.2  - </t>
  </si>
  <si>
    <t>( стр.020 + стр.040 - стр.050 ), если (стр.132 - стр.142) разд.2.1.1 -</t>
  </si>
  <si>
    <t>стр.162 разд.2.1.2  - ( стр.020 + стр.040 - стр.050 ) &gt;= 0</t>
  </si>
  <si>
    <t>Сумма авансового платежа к уменьшению по сроку не позднее                                                                                                                                                                                                                     двадцать пятого октября отчетного года</t>
  </si>
  <si>
    <t>( стр.020 + стр.040 - стр.050 ) - (( стр.132 - стр.142 ) разд.2.1.1 - стр.162 разд.</t>
  </si>
  <si>
    <t>2.1.2), если (стр.132 - стр.142 ) разд.2.1.1 - стр.162 разд.2.1.2 - ( стр.020 + стр.040 - стр.050 ) &lt; 0</t>
  </si>
  <si>
    <t>стр.040 - стр.050 ) &lt; 0</t>
  </si>
  <si>
    <t>(стр.020 + стр.040 - стр.050 + стр.070 - стр.080), если</t>
  </si>
  <si>
    <t>(стр.133 - стр.143) разд.2.1.1 - 163 разд.2.1.2  -                                                                                                                                                                                                                                                                 (стр.020 + стр.040 - стр.050 + стр.070 - стр.080) &gt;= 0</t>
  </si>
  <si>
    <t xml:space="preserve">(стр.133 - стр.143) разд.2.1.1 - стр.163 разд.2.1.2 - </t>
  </si>
  <si>
    <t>Сумма налога к уменьшению  налоговый период                                                                                                                                                                                                                                                 (календарный год) по сроку *</t>
  </si>
  <si>
    <t>разд.2.1.2 - (стр.020 + стр.040 - стр.050 + стр.070 - стр.080 ) &lt; 0</t>
  </si>
  <si>
    <t>(стр.020 + стр.040 - стр.050 + стр.070 - стр.080 ) - (( стр.133 - стр.143 )</t>
  </si>
  <si>
    <t xml:space="preserve">разд.2.1.1 - стр.163 разд.2.1.2), если (стр.133 - стр.143) разд.2.1.1 - стр.163 </t>
  </si>
  <si>
    <t>Раздел 2.1.1. Расчет налога, уплачиваемого в связи с применением упрощенной системы налогообложения,</t>
  </si>
  <si>
    <t>121</t>
  </si>
  <si>
    <t>122</t>
  </si>
  <si>
    <t>123</t>
  </si>
  <si>
    <t>6</t>
  </si>
  <si>
    <t>8</t>
  </si>
  <si>
    <t>7</t>
  </si>
  <si>
    <t>5</t>
  </si>
  <si>
    <t>А</t>
  </si>
  <si>
    <t>В</t>
  </si>
  <si>
    <t>Е</t>
  </si>
  <si>
    <t>Я</t>
  </si>
  <si>
    <t>О</t>
  </si>
  <si>
    <t>Л</t>
  </si>
  <si>
    <t>И</t>
  </si>
  <si>
    <t>Т</t>
  </si>
  <si>
    <t>Ч</t>
  </si>
  <si>
    <t>9</t>
  </si>
  <si>
    <t>+</t>
  </si>
  <si>
    <t>Grand Total</t>
  </si>
  <si>
    <t>Sum of IncomeValue</t>
  </si>
  <si>
    <t>Year</t>
  </si>
  <si>
    <t xml:space="preserve"> </t>
  </si>
  <si>
    <t>Quartal</t>
  </si>
  <si>
    <t>Q1</t>
  </si>
  <si>
    <t>Q2</t>
  </si>
  <si>
    <t>Сумма полученных доходов</t>
  </si>
  <si>
    <t>Date</t>
  </si>
  <si>
    <t>IncomeUsd</t>
  </si>
  <si>
    <t>ExchangeData</t>
  </si>
  <si>
    <t>ExchangeValue</t>
  </si>
  <si>
    <t>ExchangeRate</t>
  </si>
  <si>
    <t>Q3</t>
  </si>
  <si>
    <t>Q4</t>
  </si>
  <si>
    <t>Сумма страховых взносов</t>
  </si>
  <si>
    <t>Сумма уплаченного налога за вычетом страховых взносов</t>
  </si>
  <si>
    <t>Income RUR</t>
  </si>
  <si>
    <t>1% налога на сумму превышающую 300 000</t>
  </si>
  <si>
    <t>Ф</t>
  </si>
  <si>
    <t>М</t>
  </si>
  <si>
    <t>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</si>
</sst>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.00;\(\$#,##0.00\);\$#,##0.00"/>
    <numFmt numFmtId="165" formatCode="&quot;$&quot;#,##0.00"/>
    <numFmt numFmtId="166" formatCode="&quot;$&quot;#,##0.0000"/>
    <numFmt numFmtId="167" formatCode="#,##0.00\ [$₽-419]"/>
  </numFmts>
  <fonts count="27" x14ac:knownFonts="1">
    <font>
      <sz val="10"/>
      <name val="Arial Cyr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2"/>
      <name val="Courier New"/>
      <family val="3"/>
      <charset val="204"/>
    </font>
    <font>
      <sz val="11"/>
      <name val="Arial"/>
      <family val="2"/>
      <charset val="204"/>
    </font>
    <font>
      <sz val="8"/>
      <name val="Arial Cyr"/>
      <family val="2"/>
      <charset val="204"/>
    </font>
    <font>
      <sz val="7"/>
      <name val="Arial"/>
      <family val="2"/>
      <charset val="204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b/>
      <sz val="11"/>
      <name val="Arial"/>
      <family val="2"/>
      <charset val="204"/>
    </font>
    <font>
      <sz val="8.5"/>
      <name val="Arial"/>
      <family val="2"/>
      <charset val="204"/>
    </font>
    <font>
      <sz val="7.5"/>
      <name val="Arial"/>
      <family val="2"/>
      <charset val="204"/>
    </font>
    <font>
      <sz val="5"/>
      <name val="Arial"/>
      <family val="2"/>
      <charset val="204"/>
    </font>
    <font>
      <b/>
      <sz val="9"/>
      <name val="Arial"/>
      <family val="2"/>
      <charset val="204"/>
    </font>
    <font>
      <b/>
      <sz val="10"/>
      <name val="Arial"/>
      <family val="2"/>
      <charset val="204"/>
    </font>
    <font>
      <sz val="9"/>
      <name val="Arial"/>
      <family val="2"/>
      <charset val="204"/>
    </font>
    <font>
      <b/>
      <sz val="12"/>
      <name val="Arial"/>
      <family val="2"/>
      <charset val="204"/>
    </font>
    <font>
      <sz val="9"/>
      <name val="Arial Cyr"/>
      <family val="2"/>
      <charset val="204"/>
    </font>
    <font>
      <b/>
      <sz val="9.5"/>
      <name val="Arial"/>
      <family val="2"/>
      <charset val="204"/>
    </font>
    <font>
      <i/>
      <sz val="9"/>
      <name val="Arial"/>
      <family val="2"/>
      <charset val="204"/>
    </font>
    <font>
      <sz val="16"/>
      <name val="Courier New"/>
      <family val="3"/>
      <charset val="204"/>
    </font>
    <font>
      <b/>
      <sz val="8.5"/>
      <name val="Arial"/>
      <family val="2"/>
      <charset val="204"/>
    </font>
    <font>
      <i/>
      <sz val="8"/>
      <name val="Arial"/>
      <family val="2"/>
      <charset val="204"/>
    </font>
    <font>
      <sz val="8"/>
      <name val="Arial Cyr"/>
      <charset val="204"/>
    </font>
    <font>
      <sz val="10"/>
      <color rgb="FF000000"/>
      <name val="Arial Cyr"/>
    </font>
    <font>
      <b/>
      <sz val="11"/>
      <color theme="0"/>
      <name val="Calibri"/>
      <family val="2"/>
      <scheme val="minor"/>
    </font>
    <font>
      <sz val="14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dotted">
        <color indexed="55"/>
      </top>
      <bottom style="dotted">
        <color indexed="55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195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15" fillId="2" borderId="0" xfId="0" applyFont="1" applyFill="1"/>
    <xf numFmtId="0" fontId="2" fillId="3" borderId="0" xfId="0" applyFont="1" applyFill="1" applyBorder="1"/>
    <xf numFmtId="0" fontId="2" fillId="3" borderId="0" xfId="0" applyFont="1" applyFill="1"/>
    <xf numFmtId="0" fontId="2" fillId="3" borderId="0" xfId="0" applyFont="1" applyFill="1" applyBorder="1" applyAlignment="1">
      <alignment horizontal="left" vertical="top" wrapText="1" indent="3"/>
    </xf>
    <xf numFmtId="0" fontId="7" fillId="3" borderId="0" xfId="0" applyFont="1" applyFill="1" applyBorder="1" applyAlignment="1">
      <alignment horizontal="left" vertical="top" wrapText="1" indent="2"/>
    </xf>
    <xf numFmtId="0" fontId="12" fillId="3" borderId="0" xfId="0" applyFont="1" applyFill="1" applyBorder="1" applyAlignment="1">
      <alignment horizontal="right" vertical="top"/>
    </xf>
    <xf numFmtId="0" fontId="6" fillId="3" borderId="0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vertical="center"/>
    </xf>
    <xf numFmtId="0" fontId="1" fillId="3" borderId="0" xfId="0" applyFont="1" applyFill="1" applyBorder="1"/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/>
    <xf numFmtId="0" fontId="15" fillId="3" borderId="0" xfId="0" applyFont="1" applyFill="1"/>
    <xf numFmtId="49" fontId="2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/>
    <xf numFmtId="0" fontId="14" fillId="3" borderId="0" xfId="0" applyFont="1" applyFill="1" applyBorder="1" applyAlignment="1">
      <alignment horizontal="right"/>
    </xf>
    <xf numFmtId="0" fontId="15" fillId="3" borderId="1" xfId="0" applyFont="1" applyFill="1" applyBorder="1"/>
    <xf numFmtId="0" fontId="15" fillId="3" borderId="0" xfId="0" applyFont="1" applyFill="1" applyBorder="1"/>
    <xf numFmtId="0" fontId="15" fillId="3" borderId="2" xfId="0" applyFont="1" applyFill="1" applyBorder="1"/>
    <xf numFmtId="0" fontId="15" fillId="3" borderId="0" xfId="0" applyFont="1" applyFill="1" applyBorder="1" applyAlignment="1">
      <alignment horizontal="right" vertical="center"/>
    </xf>
    <xf numFmtId="0" fontId="15" fillId="3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/>
    </xf>
    <xf numFmtId="0" fontId="0" fillId="3" borderId="2" xfId="0" applyFill="1" applyBorder="1"/>
    <xf numFmtId="0" fontId="0" fillId="3" borderId="0" xfId="0" applyFill="1" applyBorder="1"/>
    <xf numFmtId="0" fontId="17" fillId="3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4" fillId="3" borderId="0" xfId="0" applyFont="1" applyFill="1" applyBorder="1"/>
    <xf numFmtId="0" fontId="19" fillId="3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6" fillId="3" borderId="0" xfId="0" applyFont="1" applyFill="1"/>
    <xf numFmtId="0" fontId="22" fillId="3" borderId="0" xfId="0" applyFont="1" applyFill="1" applyBorder="1" applyAlignment="1">
      <alignment horizontal="right"/>
    </xf>
    <xf numFmtId="0" fontId="19" fillId="3" borderId="0" xfId="0" applyFont="1" applyFill="1" applyBorder="1" applyAlignment="1">
      <alignment horizontal="center" vertical="center" wrapText="1"/>
    </xf>
    <xf numFmtId="0" fontId="15" fillId="0" borderId="0" xfId="0" applyFont="1" applyFill="1" applyBorder="1"/>
    <xf numFmtId="0" fontId="19" fillId="0" borderId="0" xfId="0" applyFont="1" applyFill="1" applyBorder="1" applyAlignment="1">
      <alignment horizontal="center" vertical="center"/>
    </xf>
    <xf numFmtId="0" fontId="15" fillId="2" borderId="0" xfId="0" applyFont="1" applyFill="1" applyBorder="1"/>
    <xf numFmtId="0" fontId="15" fillId="5" borderId="0" xfId="0" applyFont="1" applyFill="1" applyBorder="1"/>
    <xf numFmtId="0" fontId="2" fillId="5" borderId="0" xfId="0" applyFont="1" applyFill="1" applyBorder="1"/>
    <xf numFmtId="0" fontId="4" fillId="5" borderId="0" xfId="0" applyFont="1" applyFill="1" applyBorder="1"/>
    <xf numFmtId="0" fontId="0" fillId="5" borderId="0" xfId="0" applyFill="1" applyBorder="1"/>
    <xf numFmtId="0" fontId="15" fillId="6" borderId="0" xfId="0" applyFont="1" applyFill="1" applyBorder="1"/>
    <xf numFmtId="0" fontId="1" fillId="5" borderId="0" xfId="0" applyFont="1" applyFill="1" applyBorder="1"/>
    <xf numFmtId="0" fontId="15" fillId="3" borderId="0" xfId="0" applyFont="1" applyFill="1" applyBorder="1" applyAlignment="1">
      <alignment horizontal="left" vertical="center"/>
    </xf>
    <xf numFmtId="0" fontId="15" fillId="3" borderId="0" xfId="0" applyFont="1" applyFill="1" applyBorder="1" applyAlignment="1">
      <alignment horizontal="center"/>
    </xf>
    <xf numFmtId="49" fontId="20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/>
    </xf>
    <xf numFmtId="0" fontId="2" fillId="3" borderId="0" xfId="0" applyFont="1" applyFill="1" applyBorder="1" applyAlignment="1"/>
    <xf numFmtId="49" fontId="20" fillId="3" borderId="0" xfId="0" applyNumberFormat="1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15" fillId="7" borderId="0" xfId="0" applyFont="1" applyFill="1" applyBorder="1" applyAlignment="1">
      <alignment horizontal="right"/>
    </xf>
    <xf numFmtId="49" fontId="20" fillId="0" borderId="0" xfId="0" applyNumberFormat="1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19" fillId="3" borderId="0" xfId="0" applyFont="1" applyFill="1" applyBorder="1" applyAlignment="1">
      <alignment vertical="center"/>
    </xf>
    <xf numFmtId="0" fontId="22" fillId="3" borderId="0" xfId="0" applyFont="1" applyFill="1" applyBorder="1" applyAlignment="1"/>
    <xf numFmtId="0" fontId="15" fillId="3" borderId="0" xfId="0" applyFont="1" applyFill="1" applyBorder="1" applyAlignment="1"/>
    <xf numFmtId="0" fontId="15" fillId="3" borderId="0" xfId="0" applyFont="1" applyFill="1" applyAlignment="1">
      <alignment horizontal="center"/>
    </xf>
    <xf numFmtId="0" fontId="6" fillId="3" borderId="0" xfId="0" applyFont="1" applyFill="1" applyBorder="1" applyAlignment="1">
      <alignment horizontal="right" vertical="top" wrapText="1"/>
    </xf>
    <xf numFmtId="0" fontId="5" fillId="7" borderId="0" xfId="0" applyFont="1" applyFill="1" applyBorder="1"/>
    <xf numFmtId="0" fontId="2" fillId="7" borderId="0" xfId="0" applyFont="1" applyFill="1" applyBorder="1" applyAlignment="1">
      <alignment vertical="center"/>
    </xf>
    <xf numFmtId="0" fontId="2" fillId="7" borderId="0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vertical="top"/>
    </xf>
    <xf numFmtId="0" fontId="15" fillId="7" borderId="0" xfId="0" applyFont="1" applyFill="1" applyBorder="1"/>
    <xf numFmtId="49" fontId="20" fillId="7" borderId="0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25" fillId="8" borderId="22" xfId="0" applyNumberFormat="1" applyFont="1" applyFill="1" applyBorder="1"/>
    <xf numFmtId="165" fontId="25" fillId="8" borderId="23" xfId="0" applyNumberFormat="1" applyFont="1" applyFill="1" applyBorder="1"/>
    <xf numFmtId="14" fontId="25" fillId="8" borderId="23" xfId="0" applyNumberFormat="1" applyFont="1" applyFill="1" applyBorder="1"/>
    <xf numFmtId="166" fontId="25" fillId="8" borderId="24" xfId="0" applyNumberFormat="1" applyFont="1" applyFill="1" applyBorder="1"/>
    <xf numFmtId="14" fontId="0" fillId="0" borderId="0" xfId="0" applyNumberFormat="1"/>
    <xf numFmtId="0" fontId="26" fillId="0" borderId="0" xfId="0" applyFont="1"/>
    <xf numFmtId="165" fontId="0" fillId="0" borderId="0" xfId="0" applyNumberFormat="1"/>
    <xf numFmtId="167" fontId="0" fillId="0" borderId="0" xfId="0" applyNumberFormat="1"/>
    <xf numFmtId="0" fontId="2" fillId="7" borderId="0" xfId="0" applyFont="1" applyFill="1" applyBorder="1" applyAlignment="1">
      <alignment horizontal="center"/>
    </xf>
    <xf numFmtId="49" fontId="20" fillId="3" borderId="0" xfId="0" applyNumberFormat="1" applyFont="1" applyFill="1" applyBorder="1" applyAlignment="1">
      <alignment horizontal="center"/>
    </xf>
    <xf numFmtId="49" fontId="20" fillId="3" borderId="1" xfId="0" applyNumberFormat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top"/>
    </xf>
    <xf numFmtId="0" fontId="2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center" vertical="center"/>
    </xf>
    <xf numFmtId="49" fontId="20" fillId="3" borderId="3" xfId="0" applyNumberFormat="1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/>
    </xf>
    <xf numFmtId="0" fontId="7" fillId="7" borderId="0" xfId="0" applyFont="1" applyFill="1" applyBorder="1" applyAlignment="1">
      <alignment horizontal="right" vertical="top" wrapText="1"/>
    </xf>
    <xf numFmtId="0" fontId="8" fillId="3" borderId="0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49" fontId="20" fillId="3" borderId="16" xfId="0" applyNumberFormat="1" applyFont="1" applyFill="1" applyBorder="1" applyAlignment="1">
      <alignment horizontal="center" vertical="center"/>
    </xf>
    <xf numFmtId="49" fontId="20" fillId="3" borderId="17" xfId="0" applyNumberFormat="1" applyFont="1" applyFill="1" applyBorder="1" applyAlignment="1">
      <alignment horizontal="center" vertical="center"/>
    </xf>
    <xf numFmtId="49" fontId="20" fillId="3" borderId="18" xfId="0" applyNumberFormat="1" applyFont="1" applyFill="1" applyBorder="1" applyAlignment="1">
      <alignment horizontal="center" vertical="center"/>
    </xf>
    <xf numFmtId="49" fontId="20" fillId="3" borderId="4" xfId="0" applyNumberFormat="1" applyFont="1" applyFill="1" applyBorder="1" applyAlignment="1">
      <alignment horizontal="center" vertical="center"/>
    </xf>
    <xf numFmtId="49" fontId="20" fillId="3" borderId="5" xfId="0" applyNumberFormat="1" applyFont="1" applyFill="1" applyBorder="1" applyAlignment="1">
      <alignment horizontal="center" vertical="center"/>
    </xf>
    <xf numFmtId="49" fontId="20" fillId="3" borderId="6" xfId="0" applyNumberFormat="1" applyFont="1" applyFill="1" applyBorder="1" applyAlignment="1">
      <alignment horizontal="center" vertical="center"/>
    </xf>
    <xf numFmtId="49" fontId="20" fillId="3" borderId="7" xfId="0" applyNumberFormat="1" applyFont="1" applyFill="1" applyBorder="1" applyAlignment="1">
      <alignment horizontal="center" vertical="center"/>
    </xf>
    <xf numFmtId="49" fontId="20" fillId="3" borderId="8" xfId="0" applyNumberFormat="1" applyFont="1" applyFill="1" applyBorder="1" applyAlignment="1">
      <alignment horizontal="center" vertical="center"/>
    </xf>
    <xf numFmtId="49" fontId="20" fillId="3" borderId="9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/>
    </xf>
    <xf numFmtId="0" fontId="11" fillId="3" borderId="5" xfId="0" applyFont="1" applyFill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16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/>
    </xf>
    <xf numFmtId="49" fontId="15" fillId="7" borderId="0" xfId="0" applyNumberFormat="1" applyFont="1" applyFill="1" applyBorder="1" applyAlignment="1">
      <alignment horizontal="center" vertical="center"/>
    </xf>
    <xf numFmtId="49" fontId="15" fillId="3" borderId="11" xfId="0" applyNumberFormat="1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5" fillId="3" borderId="0" xfId="0" applyFont="1" applyFill="1" applyBorder="1" applyAlignment="1">
      <alignment vertical="center"/>
    </xf>
    <xf numFmtId="0" fontId="15" fillId="3" borderId="13" xfId="0" applyFont="1" applyFill="1" applyBorder="1" applyAlignment="1">
      <alignment horizontal="right" vertical="center" wrapText="1"/>
    </xf>
    <xf numFmtId="0" fontId="15" fillId="3" borderId="0" xfId="0" applyFont="1" applyFill="1" applyBorder="1" applyAlignment="1">
      <alignment horizontal="right" vertical="center" wrapText="1"/>
    </xf>
    <xf numFmtId="0" fontId="13" fillId="3" borderId="15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16" fillId="3" borderId="11" xfId="0" applyFont="1" applyFill="1" applyBorder="1" applyAlignment="1">
      <alignment horizontal="center" vertical="center"/>
    </xf>
    <xf numFmtId="49" fontId="20" fillId="3" borderId="10" xfId="0" applyNumberFormat="1" applyFont="1" applyFill="1" applyBorder="1" applyAlignment="1">
      <alignment horizontal="center" vertical="center"/>
    </xf>
    <xf numFmtId="49" fontId="20" fillId="7" borderId="0" xfId="0" applyNumberFormat="1" applyFont="1" applyFill="1" applyBorder="1" applyAlignment="1">
      <alignment horizontal="center" vertical="center"/>
    </xf>
    <xf numFmtId="49" fontId="20" fillId="3" borderId="11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wrapText="1"/>
    </xf>
    <xf numFmtId="0" fontId="2" fillId="7" borderId="0" xfId="0" applyFont="1" applyFill="1" applyBorder="1" applyAlignment="1">
      <alignment vertical="center"/>
    </xf>
    <xf numFmtId="0" fontId="15" fillId="3" borderId="0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5" fillId="3" borderId="13" xfId="0" applyFont="1" applyFill="1" applyBorder="1" applyAlignment="1">
      <alignment horizontal="center" wrapText="1"/>
    </xf>
    <xf numFmtId="0" fontId="15" fillId="3" borderId="0" xfId="0" applyFont="1" applyFill="1" applyBorder="1" applyAlignment="1">
      <alignment horizontal="center" wrapText="1"/>
    </xf>
    <xf numFmtId="0" fontId="15" fillId="3" borderId="0" xfId="0" applyFont="1" applyFill="1" applyBorder="1" applyAlignment="1">
      <alignment horizontal="left"/>
    </xf>
    <xf numFmtId="0" fontId="15" fillId="7" borderId="0" xfId="0" applyFont="1" applyFill="1" applyBorder="1" applyAlignment="1">
      <alignment horizontal="right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5" fillId="3" borderId="7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9" xfId="0" applyFont="1" applyFill="1" applyBorder="1" applyAlignment="1">
      <alignment horizontal="center"/>
    </xf>
    <xf numFmtId="0" fontId="2" fillId="7" borderId="0" xfId="0" applyFont="1" applyFill="1" applyAlignment="1">
      <alignment horizontal="left" wrapText="1"/>
    </xf>
    <xf numFmtId="0" fontId="2" fillId="7" borderId="0" xfId="0" applyFont="1" applyFill="1" applyAlignment="1">
      <alignment horizontal="left" vertical="top" wrapText="1"/>
    </xf>
    <xf numFmtId="0" fontId="15" fillId="7" borderId="0" xfId="0" applyFont="1" applyFill="1" applyBorder="1" applyAlignment="1">
      <alignment horizontal="left" wrapText="1"/>
    </xf>
    <xf numFmtId="0" fontId="2" fillId="7" borderId="0" xfId="0" applyFont="1" applyFill="1" applyBorder="1" applyAlignment="1">
      <alignment horizontal="left" wrapText="1"/>
    </xf>
    <xf numFmtId="0" fontId="2" fillId="7" borderId="0" xfId="0" applyFont="1" applyFill="1" applyBorder="1" applyAlignment="1">
      <alignment wrapText="1"/>
    </xf>
    <xf numFmtId="49" fontId="20" fillId="0" borderId="4" xfId="0" applyNumberFormat="1" applyFont="1" applyFill="1" applyBorder="1" applyAlignment="1">
      <alignment horizontal="center" vertical="center"/>
    </xf>
    <xf numFmtId="49" fontId="20" fillId="0" borderId="5" xfId="0" applyNumberFormat="1" applyFont="1" applyFill="1" applyBorder="1" applyAlignment="1">
      <alignment horizontal="center" vertical="center"/>
    </xf>
    <xf numFmtId="49" fontId="20" fillId="0" borderId="6" xfId="0" applyNumberFormat="1" applyFont="1" applyFill="1" applyBorder="1" applyAlignment="1">
      <alignment horizontal="center" vertical="center"/>
    </xf>
    <xf numFmtId="49" fontId="20" fillId="0" borderId="7" xfId="0" applyNumberFormat="1" applyFont="1" applyFill="1" applyBorder="1" applyAlignment="1">
      <alignment horizontal="center" vertical="center"/>
    </xf>
    <xf numFmtId="49" fontId="20" fillId="0" borderId="8" xfId="0" applyNumberFormat="1" applyFont="1" applyFill="1" applyBorder="1" applyAlignment="1">
      <alignment horizontal="center" vertical="center"/>
    </xf>
    <xf numFmtId="49" fontId="20" fillId="0" borderId="9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/>
    <xf numFmtId="0" fontId="15" fillId="7" borderId="0" xfId="0" applyFont="1" applyFill="1" applyBorder="1"/>
    <xf numFmtId="0" fontId="2" fillId="7" borderId="0" xfId="0" applyFont="1" applyFill="1" applyBorder="1"/>
    <xf numFmtId="0" fontId="15" fillId="3" borderId="0" xfId="0" applyFont="1" applyFill="1" applyAlignment="1">
      <alignment horizontal="left" wrapText="1"/>
    </xf>
    <xf numFmtId="49" fontId="2" fillId="3" borderId="0" xfId="0" applyNumberFormat="1" applyFont="1" applyFill="1" applyBorder="1" applyAlignment="1">
      <alignment horizontal="center" vertical="center"/>
    </xf>
    <xf numFmtId="49" fontId="20" fillId="0" borderId="3" xfId="0" applyNumberFormat="1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4" borderId="19" xfId="0" applyFont="1" applyFill="1" applyBorder="1" applyAlignment="1">
      <alignment horizontal="center"/>
    </xf>
    <xf numFmtId="0" fontId="15" fillId="4" borderId="20" xfId="0" applyFont="1" applyFill="1" applyBorder="1" applyAlignment="1">
      <alignment horizontal="center"/>
    </xf>
    <xf numFmtId="0" fontId="20" fillId="3" borderId="4" xfId="0" applyNumberFormat="1" applyFont="1" applyFill="1" applyBorder="1" applyAlignment="1">
      <alignment horizontal="center" vertical="center"/>
    </xf>
    <xf numFmtId="0" fontId="20" fillId="3" borderId="5" xfId="0" applyNumberFormat="1" applyFont="1" applyFill="1" applyBorder="1" applyAlignment="1">
      <alignment horizontal="center" vertical="center"/>
    </xf>
    <xf numFmtId="0" fontId="20" fillId="3" borderId="6" xfId="0" applyNumberFormat="1" applyFont="1" applyFill="1" applyBorder="1" applyAlignment="1">
      <alignment horizontal="center" vertical="center"/>
    </xf>
    <xf numFmtId="0" fontId="20" fillId="3" borderId="7" xfId="0" applyNumberFormat="1" applyFont="1" applyFill="1" applyBorder="1" applyAlignment="1">
      <alignment horizontal="center" vertical="center"/>
    </xf>
    <xf numFmtId="0" fontId="20" fillId="3" borderId="8" xfId="0" applyNumberFormat="1" applyFont="1" applyFill="1" applyBorder="1" applyAlignment="1">
      <alignment horizontal="center" vertical="center"/>
    </xf>
    <xf numFmtId="0" fontId="20" fillId="3" borderId="9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20" fillId="3" borderId="3" xfId="0" applyNumberFormat="1" applyFont="1" applyFill="1" applyBorder="1" applyAlignment="1">
      <alignment horizontal="center" vertical="center"/>
    </xf>
    <xf numFmtId="0" fontId="18" fillId="3" borderId="0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1" fillId="3" borderId="0" xfId="0" applyFont="1" applyFill="1" applyAlignment="1">
      <alignment horizontal="center"/>
    </xf>
    <xf numFmtId="49" fontId="20" fillId="3" borderId="1" xfId="0" applyNumberFormat="1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 wrapText="1"/>
    </xf>
    <xf numFmtId="0" fontId="2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 vertical="center" wrapText="1"/>
    </xf>
    <xf numFmtId="49" fontId="20" fillId="0" borderId="0" xfId="0" applyNumberFormat="1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wrapText="1"/>
    </xf>
    <xf numFmtId="0" fontId="2" fillId="3" borderId="0" xfId="0" applyFont="1" applyFill="1" applyAlignment="1">
      <alignment horizontal="left"/>
    </xf>
    <xf numFmtId="0" fontId="15" fillId="7" borderId="0" xfId="0" applyFont="1" applyFill="1" applyAlignment="1">
      <alignment horizontal="center"/>
    </xf>
    <xf numFmtId="49" fontId="2" fillId="7" borderId="0" xfId="0" applyNumberFormat="1" applyFont="1" applyFill="1" applyBorder="1" applyAlignment="1">
      <alignment horizontal="center" vertical="center"/>
    </xf>
    <xf numFmtId="49" fontId="20" fillId="7" borderId="3" xfId="0" applyNumberFormat="1" applyFont="1" applyFill="1" applyBorder="1" applyAlignment="1">
      <alignment horizontal="center" vertical="center"/>
    </xf>
    <xf numFmtId="0" fontId="15" fillId="7" borderId="0" xfId="0" applyFont="1" applyFill="1" applyAlignment="1">
      <alignment horizontal="left"/>
    </xf>
    <xf numFmtId="0" fontId="15" fillId="7" borderId="0" xfId="0" applyFont="1" applyFill="1"/>
    <xf numFmtId="0" fontId="15" fillId="7" borderId="0" xfId="0" applyFont="1" applyFill="1" applyBorder="1" applyAlignment="1">
      <alignment vertical="center"/>
    </xf>
    <xf numFmtId="49" fontId="20" fillId="0" borderId="16" xfId="0" applyNumberFormat="1" applyFont="1" applyFill="1" applyBorder="1" applyAlignment="1">
      <alignment horizontal="center" vertical="center"/>
    </xf>
    <xf numFmtId="49" fontId="20" fillId="0" borderId="17" xfId="0" applyNumberFormat="1" applyFont="1" applyFill="1" applyBorder="1" applyAlignment="1">
      <alignment horizontal="center" vertical="center"/>
    </xf>
    <xf numFmtId="49" fontId="20" fillId="0" borderId="18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vertical="center" wrapText="1"/>
    </xf>
    <xf numFmtId="49" fontId="20" fillId="0" borderId="21" xfId="0" applyNumberFormat="1" applyFont="1" applyFill="1" applyBorder="1" applyAlignment="1">
      <alignment horizontal="center" vertical="center"/>
    </xf>
    <xf numFmtId="0" fontId="18" fillId="7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29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10" Type="http://schemas.openxmlformats.org/officeDocument/2006/relationships/styles" Target="styles.xml"/><Relationship Id="rId19" Type="http://schemas.openxmlformats.org/officeDocument/2006/relationships/customXml" Target="../customXml/item6.xml"/><Relationship Id="rId31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30" Type="http://schemas.openxmlformats.org/officeDocument/2006/relationships/customXml" Target="../customXml/item1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6" noThreeD="1" sel="2" val="0">
  <itemLst>
    <item val="2019"/>
    <item val="2020"/>
    <item val="2021"/>
  </itemLst>
</formControlPr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0</xdr:row>
      <xdr:rowOff>7620</xdr:rowOff>
    </xdr:from>
    <xdr:to>
      <xdr:col>23</xdr:col>
      <xdr:colOff>22860</xdr:colOff>
      <xdr:row>4</xdr:row>
      <xdr:rowOff>30480</xdr:rowOff>
    </xdr:to>
    <xdr:pic>
      <xdr:nvPicPr>
        <xdr:cNvPr id="2277" name="Рисунок 2">
          <a:extLst>
            <a:ext uri="{FF2B5EF4-FFF2-40B4-BE49-F238E27FC236}">
              <a16:creationId xmlns:a16="http://schemas.microsoft.com/office/drawing/2014/main" id="{00000000-0008-0000-00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860" y="7620"/>
          <a:ext cx="102108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</xdr:colOff>
      <xdr:row>0</xdr:row>
      <xdr:rowOff>0</xdr:rowOff>
    </xdr:from>
    <xdr:to>
      <xdr:col>22</xdr:col>
      <xdr:colOff>0</xdr:colOff>
      <xdr:row>4</xdr:row>
      <xdr:rowOff>15240</xdr:rowOff>
    </xdr:to>
    <xdr:pic>
      <xdr:nvPicPr>
        <xdr:cNvPr id="1250" name="Рисунок 1">
          <a:extLst>
            <a:ext uri="{FF2B5EF4-FFF2-40B4-BE49-F238E27FC236}">
              <a16:creationId xmlns:a16="http://schemas.microsoft.com/office/drawing/2014/main" id="{00000000-0008-0000-01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380" y="0"/>
          <a:ext cx="967740" cy="480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53340</xdr:colOff>
      <xdr:row>0</xdr:row>
      <xdr:rowOff>0</xdr:rowOff>
    </xdr:from>
    <xdr:to>
      <xdr:col>22</xdr:col>
      <xdr:colOff>53340</xdr:colOff>
      <xdr:row>4</xdr:row>
      <xdr:rowOff>0</xdr:rowOff>
    </xdr:to>
    <xdr:pic>
      <xdr:nvPicPr>
        <xdr:cNvPr id="6294" name="Рисунок 1">
          <a:extLst>
            <a:ext uri="{FF2B5EF4-FFF2-40B4-BE49-F238E27FC236}">
              <a16:creationId xmlns:a16="http://schemas.microsoft.com/office/drawing/2014/main" id="{00000000-0008-0000-0200-0000961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0"/>
          <a:ext cx="97536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7620</xdr:rowOff>
        </xdr:from>
        <xdr:to>
          <xdr:col>3</xdr:col>
          <xdr:colOff>243840</xdr:colOff>
          <xdr:row>2</xdr:row>
          <xdr:rowOff>144780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Refresh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4</xdr:row>
          <xdr:rowOff>68580</xdr:rowOff>
        </xdr:from>
        <xdr:to>
          <xdr:col>3</xdr:col>
          <xdr:colOff>220980</xdr:colOff>
          <xdr:row>6</xdr:row>
          <xdr:rowOff>30480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38100</xdr:rowOff>
        </xdr:from>
        <xdr:to>
          <xdr:col>8</xdr:col>
          <xdr:colOff>289560</xdr:colOff>
          <xdr:row>6</xdr:row>
          <xdr:rowOff>22860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Fill 3-НДФЛ form from selected year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ul" refreshedDate="44276.803587152775" createdVersion="5" refreshedVersion="6" minRefreshableVersion="3" recordCount="0" supportSubquery="1" supportAdvancedDrill="1" xr:uid="{00000000-000A-0000-FFFF-FFFF27000000}">
  <cacheSource type="external" connectionId="2"/>
  <cacheFields count="3">
    <cacheField name="[DimDate].[CalendarQuarter].[CalendarQuarter]" caption="CalendarQuarter" numFmtId="0" hierarchy="7" level="1">
      <sharedItems containsSemiMixedTypes="0" containsNonDate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imDate].[CalendarQuarter].&amp;[1]"/>
          </x15:cachedUniqueNames>
        </ext>
      </extLst>
    </cacheField>
    <cacheField name="[Measures].[Sum of IncomeValue]" caption="Sum of IncomeValue" numFmtId="0" hierarchy="26" level="32767"/>
    <cacheField name="[DimDate].[CalendarYear].[CalendarYear]" caption="CalendarYear" numFmtId="0" hierarchy="8" level="1">
      <sharedItems containsSemiMixedTypes="0" containsString="0" containsNumber="1" containsInteger="1" minValue="2019" maxValue="2021" count="3">
        <n v="2019"/>
        <n v="2020"/>
        <n v="2021"/>
      </sharedItems>
      <extLst>
        <ext xmlns:x15="http://schemas.microsoft.com/office/spreadsheetml/2010/11/main" uri="{4F2E5C28-24EA-4eb8-9CBF-B6C8F9C3D259}">
          <x15:cachedUniqueNames>
            <x15:cachedUniqueName index="0" name="[DimDate].[CalendarYear].&amp;[2019]"/>
            <x15:cachedUniqueName index="1" name="[DimDate].[CalendarYear].&amp;[2020]"/>
            <x15:cachedUniqueName index="2" name="[DimDate].[CalendarYear].&amp;[2021]"/>
          </x15:cachedUniqueNames>
        </ext>
      </extLst>
    </cacheField>
  </cacheFields>
  <cacheHierarchies count="27">
    <cacheHierarchy uniqueName="[DimDate].[DateID]" caption="DateID" attribute="1" defaultMemberUniqueName="[DimDate].[DateID].[All]" allUniqueName="[DimDate].[DateID].[All]" dimensionUniqueName="[DimDate]" displayFolder="" count="0" memberValueDatatype="20" unbalanced="0"/>
    <cacheHierarchy uniqueName="[DimDate].[FullDateAlternateKey]" caption="FullDateAlternateKey" attribute="1" time="1" defaultMemberUniqueName="[DimDate].[FullDateAlternateKey].[All]" allUniqueName="[DimDate].[FullDateAlternateKey].[All]" dimensionUniqueName="[DimDate]" displayFolder="" count="0" memberValueDatatype="7" unbalanced="0"/>
    <cacheHierarchy uniqueName="[DimDate].[DayNumberOfYear]" caption="DayNumberOfYear" attribute="1" defaultMemberUniqueName="[DimDate].[DayNumberOfYear].[All]" allUniqueName="[DimDate].[DayNumberOfYear].[All]" dimensionUniqueName="[DimDate]" displayFolder="" count="0" memberValueDatatype="20" unbalanced="0"/>
    <cacheHierarchy uniqueName="[DimDate].[DayNumberOfMonth]" caption="DayNumberOfMonth" attribute="1" defaultMemberUniqueName="[DimDate].[DayNumberOfMonth].[All]" allUniqueName="[DimDate].[DayNumberOfMonth].[All]" dimensionUniqueName="[DimDate]" displayFolder="" count="0" memberValueDatatype="20" unbalanced="0"/>
    <cacheHierarchy uniqueName="[DimDate].[DayNumberOfQuarter]" caption="DayNumberOfQuarter" attribute="1" defaultMemberUniqueName="[DimDate].[DayNumberOfQuarter].[All]" allUniqueName="[DimDate].[DayNumberOfQuarter].[All]" dimensionUniqueName="[DimDate]" displayFolder="" count="0" memberValueDatatype="20" unbalanced="0"/>
    <cacheHierarchy uniqueName="[DimDate].[MonthNumberOfYear]" caption="MonthNumberOfYear" attribute="1" defaultMemberUniqueName="[DimDate].[MonthNumberOfYear].[All]" allUniqueName="[DimDate].[MonthNumberOfYear].[All]" dimensionUniqueName="[DimDate]" displayFolder="" count="0" memberValueDatatype="20" unbalanced="0"/>
    <cacheHierarchy uniqueName="[DimDate].[MonthNumberOfQuarter]" caption="MonthNumberOfQuarter" attribute="1" defaultMemberUniqueName="[DimDate].[MonthNumberOfQuarter].[All]" allUniqueName="[DimDate].[MonthNumberOfQuarter].[All]" dimensionUniqueName="[DimDate]" displayFolder="" count="0" memberValueDatatype="20" unbalanced="0"/>
    <cacheHierarchy uniqueName="[DimDate].[CalendarQuarter]" caption="CalendarQuarter" attribute="1" defaultMemberUniqueName="[DimDate].[CalendarQuarter].[All]" allUniqueName="[DimDate].[CalendarQuarter].[All]" dimensionUniqueName="[DimDate]" displayFolder="" count="2" memberValueDatatype="20" unbalanced="0">
      <fieldsUsage count="2">
        <fieldUsage x="-1"/>
        <fieldUsage x="0"/>
      </fieldsUsage>
    </cacheHierarchy>
    <cacheHierarchy uniqueName="[DimDate].[CalendarYear]" caption="CalendarYear" attribute="1" defaultMemberUniqueName="[DimDate].[CalendarYear].[All]" allUniqueName="[DimDate].[CalendarYear].[All]" dimensionUniqueName="[DimDate]" displayFolder="" count="2" memberValueDatatype="20" unbalanced="0">
      <fieldsUsage count="2">
        <fieldUsage x="-1"/>
        <fieldUsage x="2"/>
      </fieldsUsage>
    </cacheHierarchy>
    <cacheHierarchy uniqueName="[DimDate].[DayName]" caption="DayName" attribute="1" defaultMemberUniqueName="[DimDate].[DayName].[All]" allUniqueName="[DimDate].[DayName].[All]" dimensionUniqueName="[DimDate]" displayFolder="" count="0" memberValueDatatype="130" unbalanced="0"/>
    <cacheHierarchy uniqueName="[DimDate].[MonthName]" caption="MonthName" attribute="1" defaultMemberUniqueName="[DimDate].[MonthName].[All]" allUniqueName="[DimDate].[MonthName].[All]" dimensionUniqueName="[DimDate]" displayFolder="" count="0" memberValueDatatype="130" unbalanced="0"/>
    <cacheHierarchy uniqueName="[DimDate].[LastOfMonth]" caption="LastOfMonth" attribute="1" time="1" defaultMemberUniqueName="[DimDate].[LastOfMonth].[All]" allUniqueName="[DimDate].[LastOfMonth].[All]" dimensionUniqueName="[DimDate]" displayFolder="" count="0" memberValueDatatype="7" unbalanced="0"/>
    <cacheHierarchy uniqueName="[DimDate].[FirstOfQuarter]" caption="FirstOfQuarter" attribute="1" time="1" defaultMemberUniqueName="[DimDate].[FirstOfQuarter].[All]" allUniqueName="[DimDate].[FirstOfQuarter].[All]" dimensionUniqueName="[DimDate]" displayFolder="" count="0" memberValueDatatype="7" unbalanced="0"/>
    <cacheHierarchy uniqueName="[DimDate].[LastOfQuarter]" caption="LastOfQuarter" attribute="1" time="1" defaultMemberUniqueName="[DimDate].[LastOfQuarter].[All]" allUniqueName="[DimDate].[LastOfQuarter].[All]" dimensionUniqueName="[DimDate]" displayFolder="" count="0" memberValueDatatype="7" unbalanced="0"/>
    <cacheHierarchy uniqueName="[DimDate].[EnglishDayName]" caption="EnglishDayName" attribute="1" defaultMemberUniqueName="[DimDate].[EnglishDayName].[All]" allUniqueName="[DimDate].[EnglishDayName].[All]" dimensionUniqueName="[DimDate]" displayFolder="" count="0" memberValueDatatype="130" unbalanced="0"/>
    <cacheHierarchy uniqueName="[DimDate].[EnglishMonthName]" caption="EnglishMonthName" attribute="1" defaultMemberUniqueName="[DimDate].[EnglishMonthName].[All]" allUniqueName="[DimDate].[EnglishMonthName].[All]" dimensionUniqueName="[DimDate]" displayFolder="" count="0" memberValueDatatype="130" unbalanced="0"/>
    <cacheHierarchy uniqueName="[DimDate].[SimpleRussianDate]" caption="SimpleRussianDate" attribute="1" defaultMemberUniqueName="[DimDate].[SimpleRussianDate].[All]" allUniqueName="[DimDate].[SimpleRussianDate].[All]" dimensionUniqueName="[DimDate]" displayFolder="" count="0" memberValueDatatype="130" unbalanced="0"/>
    <cacheHierarchy uniqueName="[FactIncome].[ID]" caption="ID" attribute="1" defaultMemberUniqueName="[FactIncome].[ID].[All]" allUniqueName="[FactIncome].[ID].[All]" dimensionUniqueName="[FactIncome]" displayFolder="" count="0" memberValueDatatype="20" unbalanced="0"/>
    <cacheHierarchy uniqueName="[FactIncome].[DateID]" caption="DateID" attribute="1" defaultMemberUniqueName="[FactIncome].[DateID].[All]" allUniqueName="[FactIncome].[DateID].[All]" dimensionUniqueName="[FactIncome]" displayFolder="" count="0" memberValueDatatype="20" unbalanced="0"/>
    <cacheHierarchy uniqueName="[FactIncome].[BatchID]" caption="BatchID" attribute="1" defaultMemberUniqueName="[FactIncome].[BatchID].[All]" allUniqueName="[FactIncome].[BatchID].[All]" dimensionUniqueName="[FactIncome]" displayFolder="" count="0" memberValueDatatype="20" unbalanced="0"/>
    <cacheHierarchy uniqueName="[FactIncome].[IncomeValue]" caption="IncomeValue" attribute="1" defaultMemberUniqueName="[FactIncome].[IncomeValue].[All]" allUniqueName="[FactIncome].[IncomeValue].[All]" dimensionUniqueName="[FactIncome]" displayFolder="" count="0" memberValueDatatype="6" unbalanced="0"/>
    <cacheHierarchy uniqueName="[FactIncome].[CreateDate]" caption="CreateDate" attribute="1" time="1" defaultMemberUniqueName="[FactIncome].[CreateDate].[All]" allUniqueName="[FactIncome].[CreateDate].[All]" dimensionUniqueName="[FactIncome]" displayFolder="" count="0" memberValueDatatype="7" unbalanced="0"/>
    <cacheHierarchy uniqueName="[Measures].[__XL_Count DimDate]" caption="__XL_Count DimDate" measure="1" displayFolder="" measureGroup="DimDate" count="0" hidden="1"/>
    <cacheHierarchy uniqueName="[Measures].[__XL_Count FactIncome]" caption="__XL_Count FactIncome" measure="1" displayFolder="" measureGroup="FactIncome" count="0" hidden="1"/>
    <cacheHierarchy uniqueName="[Measures].[__No measures defined]" caption="__No measures defined" measure="1" displayFolder="" count="0" hidden="1"/>
    <cacheHierarchy uniqueName="[Measures].[Sum of CalendarQuarter]" caption="Sum of CalendarQuarter" measure="1" displayFolder="" measureGroup="DimDate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IncomeValue]" caption="Sum of IncomeValue" measure="1" displayFolder="" measureGroup="FactIncom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</cacheHierarchies>
  <kpis count="0"/>
  <dimensions count="3">
    <dimension name="DimDate" uniqueName="[DimDate]" caption="DimDate"/>
    <dimension name="FactIncome" uniqueName="[FactIncome]" caption="FactIncome"/>
    <dimension measure="1" name="Measures" uniqueName="[Measures]" caption="Measures"/>
  </dimensions>
  <measureGroups count="2">
    <measureGroup name="DimDate" caption="DimDate"/>
    <measureGroup name="FactIncome" caption="FactIncome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9" applyNumberFormats="0" applyBorderFormats="0" applyFontFormats="0" applyPatternFormats="0" applyAlignmentFormats="0" applyWidthHeightFormats="1" dataCaption="Values" tag="e3730fc6-c6c4-4c19-877d-ad60971ea193" updatedVersion="6" minRefreshableVersion="3" useAutoFormatting="1" itemPrintTitles="1" createdVersion="5" indent="0" outline="1" outlineData="1" multipleFieldFilters="0" rowHeaderCaption="Year">
  <location ref="B3:C7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 e="0"/>
        <item x="1" e="0"/>
        <item x="2" e="0"/>
      </items>
    </pivotField>
  </pivotFields>
  <rowFields count="2">
    <field x="2"/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IncomeValue" fld="1" baseField="0" baseItem="0"/>
  </dataFields>
  <pivotHierarchies count="2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Date]"/>
        <x15:activeTabTopLevelEntity name="[FactIncom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pageSetUpPr fitToPage="1"/>
  </sheetPr>
  <dimension ref="A1:DU85"/>
  <sheetViews>
    <sheetView showGridLines="0" view="pageBreakPreview" zoomScale="120" zoomScaleNormal="120" zoomScaleSheetLayoutView="120" workbookViewId="0">
      <selection activeCell="BV5" sqref="BV5:BX5"/>
    </sheetView>
  </sheetViews>
  <sheetFormatPr defaultColWidth="0.88671875" defaultRowHeight="11.4" x14ac:dyDescent="0.2"/>
  <cols>
    <col min="1" max="122" width="0.88671875" style="4"/>
    <col min="123" max="123" width="8.5546875" style="4" customWidth="1"/>
    <col min="124" max="16384" width="0.88671875" style="4"/>
  </cols>
  <sheetData>
    <row r="1" spans="1:125" ht="15" customHeight="1" x14ac:dyDescent="0.2">
      <c r="A1" s="87"/>
      <c r="B1" s="87"/>
      <c r="C1" s="87"/>
      <c r="D1" s="87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87"/>
      <c r="AA1" s="87"/>
      <c r="AB1" s="87"/>
      <c r="AC1" s="87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88" t="s">
        <v>124</v>
      </c>
      <c r="CF1" s="88"/>
      <c r="CG1" s="88"/>
      <c r="CH1" s="88"/>
      <c r="CI1" s="88"/>
      <c r="CJ1" s="88"/>
      <c r="CK1" s="88"/>
      <c r="CL1" s="88"/>
      <c r="CM1" s="88"/>
      <c r="CN1" s="88"/>
      <c r="CO1" s="88"/>
      <c r="CP1" s="88"/>
      <c r="CQ1" s="88"/>
      <c r="CR1" s="88"/>
      <c r="CS1" s="88"/>
      <c r="CT1" s="88"/>
      <c r="CU1" s="88"/>
      <c r="CV1" s="88"/>
      <c r="CW1" s="88"/>
      <c r="CX1" s="88"/>
      <c r="CY1" s="88"/>
      <c r="CZ1" s="88"/>
      <c r="DA1" s="88"/>
      <c r="DB1" s="88"/>
      <c r="DC1" s="88"/>
      <c r="DD1" s="88"/>
      <c r="DE1" s="88"/>
      <c r="DF1" s="88"/>
      <c r="DG1" s="88"/>
      <c r="DH1" s="88"/>
      <c r="DI1" s="88"/>
      <c r="DJ1" s="88"/>
      <c r="DK1" s="88"/>
      <c r="DL1" s="88"/>
      <c r="DM1" s="88"/>
      <c r="DN1" s="88"/>
      <c r="DO1" s="88"/>
      <c r="DP1" s="88"/>
      <c r="DQ1" s="88"/>
      <c r="DR1" s="88"/>
      <c r="DS1" s="40"/>
      <c r="DT1" s="40"/>
      <c r="DU1" s="40"/>
    </row>
    <row r="2" spans="1:125" s="1" customFormat="1" ht="14.25" customHeight="1" x14ac:dyDescent="0.2">
      <c r="A2" s="5"/>
      <c r="B2" s="80"/>
      <c r="C2" s="80"/>
      <c r="D2" s="80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80"/>
      <c r="AA2" s="80"/>
      <c r="AB2" s="80"/>
      <c r="AC2" s="5"/>
      <c r="AD2" s="85" t="s">
        <v>2</v>
      </c>
      <c r="AE2" s="85"/>
      <c r="AF2" s="85"/>
      <c r="AG2" s="85"/>
      <c r="AH2" s="85"/>
      <c r="AI2" s="85"/>
      <c r="AJ2" s="85"/>
      <c r="AK2" s="85"/>
      <c r="AL2" s="95" t="s">
        <v>44</v>
      </c>
      <c r="AM2" s="96"/>
      <c r="AN2" s="97"/>
      <c r="AO2" s="95" t="s">
        <v>55</v>
      </c>
      <c r="AP2" s="96"/>
      <c r="AQ2" s="97"/>
      <c r="AR2" s="95" t="s">
        <v>55</v>
      </c>
      <c r="AS2" s="96"/>
      <c r="AT2" s="97"/>
      <c r="AU2" s="95" t="s">
        <v>44</v>
      </c>
      <c r="AV2" s="96"/>
      <c r="AW2" s="97"/>
      <c r="AX2" s="95" t="s">
        <v>44</v>
      </c>
      <c r="AY2" s="96"/>
      <c r="AZ2" s="97"/>
      <c r="BA2" s="95" t="s">
        <v>44</v>
      </c>
      <c r="BB2" s="96"/>
      <c r="BC2" s="97"/>
      <c r="BD2" s="95" t="s">
        <v>55</v>
      </c>
      <c r="BE2" s="96"/>
      <c r="BF2" s="97"/>
      <c r="BG2" s="95" t="s">
        <v>55</v>
      </c>
      <c r="BH2" s="96"/>
      <c r="BI2" s="97"/>
      <c r="BJ2" s="95" t="s">
        <v>44</v>
      </c>
      <c r="BK2" s="96"/>
      <c r="BL2" s="97"/>
      <c r="BM2" s="95" t="s">
        <v>55</v>
      </c>
      <c r="BN2" s="96"/>
      <c r="BO2" s="97"/>
      <c r="BP2" s="95" t="s">
        <v>55</v>
      </c>
      <c r="BQ2" s="96"/>
      <c r="BR2" s="97"/>
      <c r="BS2" s="95" t="s">
        <v>44</v>
      </c>
      <c r="BT2" s="96"/>
      <c r="BU2" s="97"/>
      <c r="BV2" s="5"/>
      <c r="BW2" s="5"/>
      <c r="BX2" s="5"/>
      <c r="BY2" s="5"/>
      <c r="BZ2" s="5"/>
      <c r="CA2" s="5"/>
      <c r="CB2" s="5"/>
      <c r="CC2" s="5"/>
      <c r="CD2" s="5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  <c r="CP2" s="88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41"/>
      <c r="DT2" s="41"/>
      <c r="DU2" s="41"/>
    </row>
    <row r="3" spans="1:125" s="1" customFormat="1" ht="3" customHeight="1" x14ac:dyDescent="0.25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98"/>
      <c r="AM3" s="99"/>
      <c r="AN3" s="100"/>
      <c r="AO3" s="98"/>
      <c r="AP3" s="99"/>
      <c r="AQ3" s="100"/>
      <c r="AR3" s="98"/>
      <c r="AS3" s="99"/>
      <c r="AT3" s="100"/>
      <c r="AU3" s="98"/>
      <c r="AV3" s="99"/>
      <c r="AW3" s="100"/>
      <c r="AX3" s="98"/>
      <c r="AY3" s="99"/>
      <c r="AZ3" s="100"/>
      <c r="BA3" s="98"/>
      <c r="BB3" s="99"/>
      <c r="BC3" s="100"/>
      <c r="BD3" s="98"/>
      <c r="BE3" s="99"/>
      <c r="BF3" s="100"/>
      <c r="BG3" s="98"/>
      <c r="BH3" s="99"/>
      <c r="BI3" s="100"/>
      <c r="BJ3" s="98"/>
      <c r="BK3" s="99"/>
      <c r="BL3" s="100"/>
      <c r="BM3" s="98"/>
      <c r="BN3" s="99"/>
      <c r="BO3" s="100"/>
      <c r="BP3" s="98"/>
      <c r="BQ3" s="99"/>
      <c r="BR3" s="100"/>
      <c r="BS3" s="98"/>
      <c r="BT3" s="99"/>
      <c r="BU3" s="100"/>
      <c r="BV3" s="5"/>
      <c r="BW3" s="5"/>
      <c r="BX3" s="5"/>
      <c r="BY3" s="5"/>
      <c r="BZ3" s="5"/>
      <c r="CA3" s="5"/>
      <c r="CB3" s="5"/>
      <c r="CC3" s="12"/>
      <c r="CD3" s="12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41"/>
      <c r="DT3" s="41"/>
      <c r="DU3" s="41"/>
    </row>
    <row r="4" spans="1:125" s="1" customFormat="1" ht="4.5" customHeight="1" x14ac:dyDescent="0.25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41"/>
      <c r="DT4" s="41"/>
      <c r="DU4" s="41"/>
    </row>
    <row r="5" spans="1:125" s="1" customFormat="1" ht="17.25" customHeight="1" x14ac:dyDescent="0.2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85" t="s">
        <v>3</v>
      </c>
      <c r="AE5" s="85"/>
      <c r="AF5" s="85"/>
      <c r="AG5" s="85"/>
      <c r="AH5" s="85"/>
      <c r="AI5" s="85"/>
      <c r="AJ5" s="85"/>
      <c r="AK5" s="85"/>
      <c r="AL5" s="86" t="s">
        <v>52</v>
      </c>
      <c r="AM5" s="86"/>
      <c r="AN5" s="86"/>
      <c r="AO5" s="86" t="s">
        <v>52</v>
      </c>
      <c r="AP5" s="86"/>
      <c r="AQ5" s="86"/>
      <c r="AR5" s="86" t="s">
        <v>52</v>
      </c>
      <c r="AS5" s="86"/>
      <c r="AT5" s="86"/>
      <c r="AU5" s="86" t="s">
        <v>52</v>
      </c>
      <c r="AV5" s="86"/>
      <c r="AW5" s="86"/>
      <c r="AX5" s="86" t="s">
        <v>52</v>
      </c>
      <c r="AY5" s="86"/>
      <c r="AZ5" s="86"/>
      <c r="BA5" s="86" t="s">
        <v>52</v>
      </c>
      <c r="BB5" s="86"/>
      <c r="BC5" s="86"/>
      <c r="BD5" s="86" t="s">
        <v>52</v>
      </c>
      <c r="BE5" s="86"/>
      <c r="BF5" s="86"/>
      <c r="BG5" s="86" t="s">
        <v>52</v>
      </c>
      <c r="BH5" s="86"/>
      <c r="BI5" s="86"/>
      <c r="BJ5" s="86" t="s">
        <v>52</v>
      </c>
      <c r="BK5" s="86"/>
      <c r="BL5" s="86"/>
      <c r="BM5" s="90" t="s">
        <v>4</v>
      </c>
      <c r="BN5" s="85"/>
      <c r="BO5" s="85"/>
      <c r="BP5" s="85"/>
      <c r="BQ5" s="85"/>
      <c r="BR5" s="91"/>
      <c r="BS5" s="86" t="s">
        <v>43</v>
      </c>
      <c r="BT5" s="86"/>
      <c r="BU5" s="86"/>
      <c r="BV5" s="86" t="s">
        <v>43</v>
      </c>
      <c r="BW5" s="86"/>
      <c r="BX5" s="86"/>
      <c r="BY5" s="86" t="s">
        <v>44</v>
      </c>
      <c r="BZ5" s="86"/>
      <c r="CA5" s="86"/>
      <c r="CB5" s="13"/>
      <c r="CC5" s="13"/>
      <c r="CD5" s="13"/>
      <c r="CE5" s="88"/>
      <c r="CF5" s="88"/>
      <c r="CG5" s="88"/>
      <c r="CH5" s="88"/>
      <c r="CI5" s="88"/>
      <c r="CJ5" s="88"/>
      <c r="CK5" s="88"/>
      <c r="CL5" s="88"/>
      <c r="CM5" s="88"/>
      <c r="CN5" s="88"/>
      <c r="CO5" s="88"/>
      <c r="CP5" s="88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41"/>
      <c r="DT5" s="41"/>
      <c r="DU5" s="41"/>
    </row>
    <row r="6" spans="1:125" s="1" customFormat="1" ht="11.25" customHeight="1" x14ac:dyDescent="0.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7"/>
      <c r="CK6" s="7"/>
      <c r="CL6" s="7"/>
      <c r="CM6" s="7"/>
      <c r="CN6" s="7"/>
      <c r="CO6" s="7"/>
      <c r="CP6" s="7"/>
      <c r="CQ6" s="7"/>
      <c r="CR6" s="7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41"/>
      <c r="DT6" s="41"/>
      <c r="DU6" s="41"/>
    </row>
    <row r="7" spans="1:125" s="1" customFormat="1" ht="9" customHeight="1" x14ac:dyDescent="0.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7"/>
      <c r="CK7" s="7"/>
      <c r="CL7" s="7"/>
      <c r="CM7" s="7"/>
      <c r="CN7" s="7"/>
      <c r="CO7" s="7"/>
      <c r="CP7" s="7"/>
      <c r="CQ7" s="7"/>
      <c r="CR7" s="7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5"/>
      <c r="DS7" s="41"/>
      <c r="DT7" s="41"/>
      <c r="DU7" s="41"/>
    </row>
    <row r="8" spans="1:125" s="1" customFormat="1" ht="15" customHeight="1" x14ac:dyDescent="0.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89" t="s">
        <v>48</v>
      </c>
      <c r="CK8" s="89"/>
      <c r="CL8" s="89"/>
      <c r="CM8" s="89"/>
      <c r="CN8" s="89"/>
      <c r="CO8" s="89"/>
      <c r="CP8" s="89"/>
      <c r="CQ8" s="89"/>
      <c r="CR8" s="89"/>
      <c r="CS8" s="89"/>
      <c r="CT8" s="89"/>
      <c r="CU8" s="89"/>
      <c r="CV8" s="89"/>
      <c r="CW8" s="89"/>
      <c r="CX8" s="89"/>
      <c r="CY8" s="89"/>
      <c r="CZ8" s="89"/>
      <c r="DA8" s="89"/>
      <c r="DB8" s="89"/>
      <c r="DC8" s="89"/>
      <c r="DD8" s="89"/>
      <c r="DE8" s="89"/>
      <c r="DF8" s="89"/>
      <c r="DG8" s="89"/>
      <c r="DH8" s="89"/>
      <c r="DI8" s="89"/>
      <c r="DJ8" s="89"/>
      <c r="DK8" s="89"/>
      <c r="DL8" s="89"/>
      <c r="DM8" s="89"/>
      <c r="DN8" s="89"/>
      <c r="DO8" s="89"/>
      <c r="DP8" s="89"/>
      <c r="DQ8" s="89"/>
      <c r="DR8" s="5"/>
      <c r="DS8" s="41"/>
      <c r="DT8" s="41"/>
      <c r="DU8" s="41"/>
    </row>
    <row r="9" spans="1:125" s="1" customFormat="1" ht="13.2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5"/>
      <c r="DS9" s="41"/>
      <c r="DT9" s="41"/>
      <c r="DU9" s="41"/>
    </row>
    <row r="10" spans="1:125" s="17" customFormat="1" ht="13.8" x14ac:dyDescent="0.25">
      <c r="A10" s="31"/>
      <c r="B10" s="101" t="s">
        <v>49</v>
      </c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1"/>
      <c r="AL10" s="101"/>
      <c r="AM10" s="101"/>
      <c r="AN10" s="101"/>
      <c r="AO10" s="101"/>
      <c r="AP10" s="101"/>
      <c r="AQ10" s="101"/>
      <c r="AR10" s="101"/>
      <c r="AS10" s="101"/>
      <c r="AT10" s="101"/>
      <c r="AU10" s="101"/>
      <c r="AV10" s="101"/>
      <c r="AW10" s="101"/>
      <c r="AX10" s="101"/>
      <c r="AY10" s="101"/>
      <c r="AZ10" s="101"/>
      <c r="BA10" s="101"/>
      <c r="BB10" s="101"/>
      <c r="BC10" s="101"/>
      <c r="BD10" s="101"/>
      <c r="BE10" s="101"/>
      <c r="BF10" s="101"/>
      <c r="BG10" s="101"/>
      <c r="BH10" s="101"/>
      <c r="BI10" s="101"/>
      <c r="BJ10" s="101"/>
      <c r="BK10" s="101"/>
      <c r="BL10" s="101"/>
      <c r="BM10" s="101"/>
      <c r="BN10" s="101"/>
      <c r="BO10" s="101"/>
      <c r="BP10" s="101"/>
      <c r="BQ10" s="101"/>
      <c r="BR10" s="101"/>
      <c r="BS10" s="101"/>
      <c r="BT10" s="101"/>
      <c r="BU10" s="101"/>
      <c r="BV10" s="101"/>
      <c r="BW10" s="101"/>
      <c r="BX10" s="101"/>
      <c r="BY10" s="101"/>
      <c r="BZ10" s="101"/>
      <c r="CA10" s="101"/>
      <c r="CB10" s="101"/>
      <c r="CC10" s="101"/>
      <c r="CD10" s="101"/>
      <c r="CE10" s="101"/>
      <c r="CF10" s="101"/>
      <c r="CG10" s="101"/>
      <c r="CH10" s="101"/>
      <c r="CI10" s="101"/>
      <c r="CJ10" s="101"/>
      <c r="CK10" s="101"/>
      <c r="CL10" s="101"/>
      <c r="CM10" s="101"/>
      <c r="CN10" s="101"/>
      <c r="CO10" s="101"/>
      <c r="CP10" s="101"/>
      <c r="CQ10" s="101"/>
      <c r="CR10" s="101"/>
      <c r="CS10" s="101"/>
      <c r="CT10" s="101"/>
      <c r="CU10" s="101"/>
      <c r="CV10" s="101"/>
      <c r="CW10" s="101"/>
      <c r="CX10" s="101"/>
      <c r="CY10" s="101"/>
      <c r="CZ10" s="101"/>
      <c r="DA10" s="101"/>
      <c r="DB10" s="101"/>
      <c r="DC10" s="101"/>
      <c r="DD10" s="101"/>
      <c r="DE10" s="101"/>
      <c r="DF10" s="101"/>
      <c r="DG10" s="101"/>
      <c r="DH10" s="101"/>
      <c r="DI10" s="101"/>
      <c r="DJ10" s="101"/>
      <c r="DK10" s="101"/>
      <c r="DL10" s="101"/>
      <c r="DM10" s="101"/>
      <c r="DN10" s="101"/>
      <c r="DO10" s="101"/>
      <c r="DP10" s="101"/>
      <c r="DQ10" s="101"/>
      <c r="DR10" s="31"/>
      <c r="DS10" s="42"/>
      <c r="DT10" s="42"/>
      <c r="DU10" s="42"/>
    </row>
    <row r="11" spans="1:125" s="17" customFormat="1" ht="13.8" x14ac:dyDescent="0.25">
      <c r="A11" s="31"/>
      <c r="B11" s="101" t="s">
        <v>50</v>
      </c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1"/>
      <c r="AL11" s="101"/>
      <c r="AM11" s="101"/>
      <c r="AN11" s="101"/>
      <c r="AO11" s="101"/>
      <c r="AP11" s="101"/>
      <c r="AQ11" s="101"/>
      <c r="AR11" s="101"/>
      <c r="AS11" s="101"/>
      <c r="AT11" s="101"/>
      <c r="AU11" s="101"/>
      <c r="AV11" s="101"/>
      <c r="AW11" s="101"/>
      <c r="AX11" s="101"/>
      <c r="AY11" s="101"/>
      <c r="AZ11" s="101"/>
      <c r="BA11" s="101"/>
      <c r="BB11" s="101"/>
      <c r="BC11" s="101"/>
      <c r="BD11" s="101"/>
      <c r="BE11" s="101"/>
      <c r="BF11" s="101"/>
      <c r="BG11" s="101"/>
      <c r="BH11" s="101"/>
      <c r="BI11" s="101"/>
      <c r="BJ11" s="101"/>
      <c r="BK11" s="101"/>
      <c r="BL11" s="101"/>
      <c r="BM11" s="101"/>
      <c r="BN11" s="101"/>
      <c r="BO11" s="101"/>
      <c r="BP11" s="101"/>
      <c r="BQ11" s="101"/>
      <c r="BR11" s="101"/>
      <c r="BS11" s="101"/>
      <c r="BT11" s="101"/>
      <c r="BU11" s="101"/>
      <c r="BV11" s="101"/>
      <c r="BW11" s="101"/>
      <c r="BX11" s="101"/>
      <c r="BY11" s="101"/>
      <c r="BZ11" s="101"/>
      <c r="CA11" s="101"/>
      <c r="CB11" s="101"/>
      <c r="CC11" s="101"/>
      <c r="CD11" s="101"/>
      <c r="CE11" s="101"/>
      <c r="CF11" s="101"/>
      <c r="CG11" s="101"/>
      <c r="CH11" s="101"/>
      <c r="CI11" s="101"/>
      <c r="CJ11" s="101"/>
      <c r="CK11" s="101"/>
      <c r="CL11" s="101"/>
      <c r="CM11" s="101"/>
      <c r="CN11" s="101"/>
      <c r="CO11" s="101"/>
      <c r="CP11" s="101"/>
      <c r="CQ11" s="101"/>
      <c r="CR11" s="101"/>
      <c r="CS11" s="101"/>
      <c r="CT11" s="101"/>
      <c r="CU11" s="101"/>
      <c r="CV11" s="101"/>
      <c r="CW11" s="101"/>
      <c r="CX11" s="101"/>
      <c r="CY11" s="101"/>
      <c r="CZ11" s="101"/>
      <c r="DA11" s="101"/>
      <c r="DB11" s="101"/>
      <c r="DC11" s="101"/>
      <c r="DD11" s="101"/>
      <c r="DE11" s="101"/>
      <c r="DF11" s="101"/>
      <c r="DG11" s="101"/>
      <c r="DH11" s="101"/>
      <c r="DI11" s="101"/>
      <c r="DJ11" s="101"/>
      <c r="DK11" s="101"/>
      <c r="DL11" s="101"/>
      <c r="DM11" s="101"/>
      <c r="DN11" s="101"/>
      <c r="DO11" s="101"/>
      <c r="DP11" s="101"/>
      <c r="DQ11" s="101"/>
      <c r="DR11" s="31"/>
      <c r="DS11" s="42"/>
      <c r="DT11" s="42"/>
      <c r="DU11" s="42"/>
    </row>
    <row r="12" spans="1:125" s="1" customFormat="1" ht="6.75" customHeight="1" x14ac:dyDescent="0.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41"/>
      <c r="DT12" s="41"/>
      <c r="DU12" s="41"/>
    </row>
    <row r="13" spans="1:125" s="1" customFormat="1" ht="17.25" customHeight="1" x14ac:dyDescent="0.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22" t="s">
        <v>0</v>
      </c>
      <c r="X13" s="5"/>
      <c r="Y13" s="92" t="s">
        <v>43</v>
      </c>
      <c r="Z13" s="93"/>
      <c r="AA13" s="94"/>
      <c r="AB13" s="92" t="s">
        <v>52</v>
      </c>
      <c r="AC13" s="93"/>
      <c r="AD13" s="94"/>
      <c r="AE13" s="92" t="s">
        <v>52</v>
      </c>
      <c r="AF13" s="93"/>
      <c r="AG13" s="94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22" t="s">
        <v>9</v>
      </c>
      <c r="BU13" s="5"/>
      <c r="BV13" s="92" t="s">
        <v>53</v>
      </c>
      <c r="BW13" s="93"/>
      <c r="BX13" s="94"/>
      <c r="BY13" s="92" t="s">
        <v>54</v>
      </c>
      <c r="BZ13" s="93"/>
      <c r="CA13" s="94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22" t="s">
        <v>1</v>
      </c>
      <c r="DD13" s="5"/>
      <c r="DE13" s="92" t="s">
        <v>55</v>
      </c>
      <c r="DF13" s="93"/>
      <c r="DG13" s="94"/>
      <c r="DH13" s="92" t="s">
        <v>43</v>
      </c>
      <c r="DI13" s="93"/>
      <c r="DJ13" s="94"/>
      <c r="DK13" s="92" t="s">
        <v>55</v>
      </c>
      <c r="DL13" s="93"/>
      <c r="DM13" s="94"/>
      <c r="DN13" s="92" t="s">
        <v>43</v>
      </c>
      <c r="DO13" s="93"/>
      <c r="DP13" s="94"/>
      <c r="DQ13" s="5"/>
      <c r="DR13" s="5"/>
      <c r="DS13" s="41"/>
      <c r="DT13" s="41"/>
      <c r="DU13" s="41"/>
    </row>
    <row r="14" spans="1:125" s="1" customFormat="1" ht="8.25" customHeight="1" x14ac:dyDescent="0.2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41"/>
      <c r="DT14" s="41"/>
      <c r="DU14" s="41"/>
    </row>
    <row r="15" spans="1:125" s="1" customFormat="1" ht="17.25" customHeight="1" x14ac:dyDescent="0.2">
      <c r="A15" s="5"/>
      <c r="B15" s="5"/>
      <c r="C15" s="23" t="s">
        <v>8</v>
      </c>
      <c r="D15" s="23"/>
      <c r="E15" s="23"/>
      <c r="F15" s="2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86" t="s">
        <v>153</v>
      </c>
      <c r="AZ15" s="86"/>
      <c r="BA15" s="86"/>
      <c r="BB15" s="86" t="s">
        <v>152</v>
      </c>
      <c r="BC15" s="86"/>
      <c r="BD15" s="86"/>
      <c r="BE15" s="86" t="s">
        <v>43</v>
      </c>
      <c r="BF15" s="86"/>
      <c r="BG15" s="86"/>
      <c r="BH15" s="86" t="s">
        <v>43</v>
      </c>
      <c r="BI15" s="86"/>
      <c r="BJ15" s="86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22" t="s">
        <v>46</v>
      </c>
      <c r="DF15" s="5"/>
      <c r="DG15" s="92" t="s">
        <v>44</v>
      </c>
      <c r="DH15" s="93"/>
      <c r="DI15" s="94"/>
      <c r="DJ15" s="92" t="s">
        <v>55</v>
      </c>
      <c r="DK15" s="93"/>
      <c r="DL15" s="94"/>
      <c r="DM15" s="92" t="s">
        <v>43</v>
      </c>
      <c r="DN15" s="93"/>
      <c r="DO15" s="94"/>
      <c r="DP15" s="5"/>
      <c r="DQ15" s="5"/>
      <c r="DR15" s="5"/>
      <c r="DS15" s="41"/>
      <c r="DT15" s="41"/>
      <c r="DU15" s="41"/>
    </row>
    <row r="16" spans="1:125" s="1" customFormat="1" ht="4.5" customHeight="1" x14ac:dyDescent="0.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41"/>
      <c r="DT16" s="41"/>
      <c r="DU16" s="41"/>
    </row>
    <row r="17" spans="1:125" s="1" customFormat="1" ht="17.25" customHeight="1" x14ac:dyDescent="0.2">
      <c r="A17" s="5"/>
      <c r="B17" s="86" t="s">
        <v>185</v>
      </c>
      <c r="C17" s="86"/>
      <c r="D17" s="86"/>
      <c r="E17" s="86" t="s">
        <v>155</v>
      </c>
      <c r="F17" s="86"/>
      <c r="G17" s="86"/>
      <c r="H17" s="86" t="s">
        <v>186</v>
      </c>
      <c r="I17" s="86"/>
      <c r="J17" s="86"/>
      <c r="K17" s="86" t="s">
        <v>161</v>
      </c>
      <c r="L17" s="86"/>
      <c r="M17" s="86"/>
      <c r="N17" s="86" t="s">
        <v>160</v>
      </c>
      <c r="O17" s="86"/>
      <c r="P17" s="86"/>
      <c r="Q17" s="86" t="s">
        <v>161</v>
      </c>
      <c r="R17" s="86"/>
      <c r="S17" s="86"/>
      <c r="T17" s="86" t="s">
        <v>158</v>
      </c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86"/>
      <c r="CX17" s="86"/>
      <c r="CY17" s="86"/>
      <c r="CZ17" s="86"/>
      <c r="DA17" s="86"/>
      <c r="DB17" s="86"/>
      <c r="DC17" s="86"/>
      <c r="DD17" s="86"/>
      <c r="DE17" s="86"/>
      <c r="DF17" s="86"/>
      <c r="DG17" s="86"/>
      <c r="DH17" s="86"/>
      <c r="DI17" s="86"/>
      <c r="DJ17" s="86"/>
      <c r="DK17" s="86"/>
      <c r="DL17" s="86"/>
      <c r="DM17" s="86"/>
      <c r="DN17" s="86"/>
      <c r="DO17" s="86"/>
      <c r="DP17" s="86"/>
      <c r="DQ17" s="86"/>
      <c r="DR17" s="5"/>
      <c r="DS17" s="41"/>
      <c r="DT17" s="41"/>
      <c r="DU17" s="41"/>
    </row>
    <row r="18" spans="1:125" s="1" customFormat="1" ht="3.75" customHeight="1" x14ac:dyDescent="0.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 t="s">
        <v>160</v>
      </c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41"/>
      <c r="DT18" s="41"/>
      <c r="DU18" s="41"/>
    </row>
    <row r="19" spans="1:125" s="1" customFormat="1" ht="17.25" customHeight="1" x14ac:dyDescent="0.2">
      <c r="A19" s="5"/>
      <c r="B19" s="86" t="s">
        <v>161</v>
      </c>
      <c r="C19" s="86"/>
      <c r="D19" s="86"/>
      <c r="E19" s="86" t="s">
        <v>186</v>
      </c>
      <c r="F19" s="86"/>
      <c r="G19" s="86"/>
      <c r="H19" s="86" t="s">
        <v>158</v>
      </c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6"/>
      <c r="CL19" s="86"/>
      <c r="CM19" s="86"/>
      <c r="CN19" s="86"/>
      <c r="CO19" s="86"/>
      <c r="CP19" s="86"/>
      <c r="CQ19" s="86"/>
      <c r="CR19" s="86"/>
      <c r="CS19" s="86"/>
      <c r="CT19" s="86"/>
      <c r="CU19" s="86"/>
      <c r="CV19" s="86"/>
      <c r="CW19" s="86"/>
      <c r="CX19" s="86"/>
      <c r="CY19" s="86"/>
      <c r="CZ19" s="86"/>
      <c r="DA19" s="86"/>
      <c r="DB19" s="86"/>
      <c r="DC19" s="86"/>
      <c r="DD19" s="86"/>
      <c r="DE19" s="86"/>
      <c r="DF19" s="86"/>
      <c r="DG19" s="86"/>
      <c r="DH19" s="86"/>
      <c r="DI19" s="86"/>
      <c r="DJ19" s="86"/>
      <c r="DK19" s="86"/>
      <c r="DL19" s="86"/>
      <c r="DM19" s="86"/>
      <c r="DN19" s="86"/>
      <c r="DO19" s="86"/>
      <c r="DP19" s="86"/>
      <c r="DQ19" s="86"/>
      <c r="DR19" s="5"/>
      <c r="DS19" s="41"/>
      <c r="DT19" s="41"/>
      <c r="DU19" s="41"/>
    </row>
    <row r="20" spans="1:125" s="1" customFormat="1" ht="3.75" customHeight="1" x14ac:dyDescent="0.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41"/>
      <c r="DT20" s="41"/>
      <c r="DU20" s="41"/>
    </row>
    <row r="21" spans="1:125" s="1" customFormat="1" ht="17.25" customHeight="1" x14ac:dyDescent="0.2">
      <c r="A21" s="5"/>
      <c r="B21" s="86" t="s">
        <v>159</v>
      </c>
      <c r="C21" s="86"/>
      <c r="D21" s="86"/>
      <c r="E21" s="86" t="s">
        <v>162</v>
      </c>
      <c r="F21" s="86"/>
      <c r="G21" s="86"/>
      <c r="H21" s="86" t="s">
        <v>163</v>
      </c>
      <c r="I21" s="86"/>
      <c r="J21" s="86"/>
      <c r="K21" s="86" t="s">
        <v>157</v>
      </c>
      <c r="L21" s="86"/>
      <c r="M21" s="86"/>
      <c r="N21" s="86" t="s">
        <v>187</v>
      </c>
      <c r="O21" s="86"/>
      <c r="P21" s="86"/>
      <c r="Q21" s="86" t="s">
        <v>162</v>
      </c>
      <c r="R21" s="86"/>
      <c r="S21" s="86"/>
      <c r="T21" s="86" t="s">
        <v>156</v>
      </c>
      <c r="U21" s="86"/>
      <c r="V21" s="86"/>
      <c r="W21" s="86" t="s">
        <v>159</v>
      </c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  <c r="BN21" s="86"/>
      <c r="BO21" s="86"/>
      <c r="BP21" s="86"/>
      <c r="BQ21" s="86"/>
      <c r="BR21" s="86"/>
      <c r="BS21" s="86"/>
      <c r="BT21" s="86"/>
      <c r="BU21" s="86"/>
      <c r="BV21" s="86"/>
      <c r="BW21" s="86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6"/>
      <c r="CM21" s="86"/>
      <c r="CN21" s="86"/>
      <c r="CO21" s="86"/>
      <c r="CP21" s="86"/>
      <c r="CQ21" s="86"/>
      <c r="CR21" s="86"/>
      <c r="CS21" s="86"/>
      <c r="CT21" s="86"/>
      <c r="CU21" s="86"/>
      <c r="CV21" s="86"/>
      <c r="CW21" s="86"/>
      <c r="CX21" s="86"/>
      <c r="CY21" s="86"/>
      <c r="CZ21" s="86"/>
      <c r="DA21" s="86"/>
      <c r="DB21" s="86"/>
      <c r="DC21" s="86"/>
      <c r="DD21" s="86"/>
      <c r="DE21" s="86"/>
      <c r="DF21" s="86"/>
      <c r="DG21" s="86"/>
      <c r="DH21" s="86"/>
      <c r="DI21" s="86"/>
      <c r="DJ21" s="86"/>
      <c r="DK21" s="86"/>
      <c r="DL21" s="86"/>
      <c r="DM21" s="86"/>
      <c r="DN21" s="86"/>
      <c r="DO21" s="86"/>
      <c r="DP21" s="86"/>
      <c r="DQ21" s="86"/>
      <c r="DR21" s="5"/>
      <c r="DS21" s="41"/>
      <c r="DT21" s="41"/>
      <c r="DU21" s="41"/>
    </row>
    <row r="22" spans="1:125" s="1" customFormat="1" ht="3.75" customHeight="1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41"/>
      <c r="DT22" s="41"/>
      <c r="DU22" s="41"/>
    </row>
    <row r="23" spans="1:125" s="1" customFormat="1" ht="17.25" customHeight="1" x14ac:dyDescent="0.2">
      <c r="A23" s="5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86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86"/>
      <c r="BB23" s="86"/>
      <c r="BC23" s="86"/>
      <c r="BD23" s="86"/>
      <c r="BE23" s="86"/>
      <c r="BF23" s="86"/>
      <c r="BG23" s="86"/>
      <c r="BH23" s="86"/>
      <c r="BI23" s="86"/>
      <c r="BJ23" s="86"/>
      <c r="BK23" s="86"/>
      <c r="BL23" s="86"/>
      <c r="BM23" s="86"/>
      <c r="BN23" s="86"/>
      <c r="BO23" s="86"/>
      <c r="BP23" s="86"/>
      <c r="BQ23" s="86"/>
      <c r="BR23" s="86"/>
      <c r="BS23" s="86"/>
      <c r="BT23" s="86"/>
      <c r="BU23" s="86"/>
      <c r="BV23" s="86"/>
      <c r="BW23" s="86"/>
      <c r="BX23" s="86"/>
      <c r="BY23" s="86"/>
      <c r="BZ23" s="86"/>
      <c r="CA23" s="86"/>
      <c r="CB23" s="86"/>
      <c r="CC23" s="86"/>
      <c r="CD23" s="86"/>
      <c r="CE23" s="86"/>
      <c r="CF23" s="86"/>
      <c r="CG23" s="86"/>
      <c r="CH23" s="86"/>
      <c r="CI23" s="86"/>
      <c r="CJ23" s="86"/>
      <c r="CK23" s="86"/>
      <c r="CL23" s="86"/>
      <c r="CM23" s="86"/>
      <c r="CN23" s="86"/>
      <c r="CO23" s="86"/>
      <c r="CP23" s="86"/>
      <c r="CQ23" s="86"/>
      <c r="CR23" s="86"/>
      <c r="CS23" s="86"/>
      <c r="CT23" s="86"/>
      <c r="CU23" s="86"/>
      <c r="CV23" s="86"/>
      <c r="CW23" s="86"/>
      <c r="CX23" s="86"/>
      <c r="CY23" s="86"/>
      <c r="CZ23" s="86"/>
      <c r="DA23" s="86"/>
      <c r="DB23" s="86"/>
      <c r="DC23" s="86"/>
      <c r="DD23" s="86"/>
      <c r="DE23" s="86"/>
      <c r="DF23" s="86"/>
      <c r="DG23" s="86"/>
      <c r="DH23" s="86"/>
      <c r="DI23" s="86"/>
      <c r="DJ23" s="86"/>
      <c r="DK23" s="86"/>
      <c r="DL23" s="86"/>
      <c r="DM23" s="86"/>
      <c r="DN23" s="86"/>
      <c r="DO23" s="86"/>
      <c r="DP23" s="86"/>
      <c r="DQ23" s="86"/>
      <c r="DR23" s="5"/>
      <c r="DS23" s="41"/>
      <c r="DT23" s="41"/>
      <c r="DU23" s="41"/>
    </row>
    <row r="24" spans="1:125" s="1" customFormat="1" ht="15" customHeight="1" x14ac:dyDescent="0.2">
      <c r="A24" s="5"/>
      <c r="B24" s="102" t="s">
        <v>5</v>
      </c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  <c r="CW24" s="102"/>
      <c r="CX24" s="102"/>
      <c r="CY24" s="102"/>
      <c r="CZ24" s="102"/>
      <c r="DA24" s="102"/>
      <c r="DB24" s="102"/>
      <c r="DC24" s="102"/>
      <c r="DD24" s="102"/>
      <c r="DE24" s="102"/>
      <c r="DF24" s="102"/>
      <c r="DG24" s="102"/>
      <c r="DH24" s="102"/>
      <c r="DI24" s="102"/>
      <c r="DJ24" s="102"/>
      <c r="DK24" s="102"/>
      <c r="DL24" s="102"/>
      <c r="DM24" s="102"/>
      <c r="DN24" s="102"/>
      <c r="DO24" s="102"/>
      <c r="DP24" s="102"/>
      <c r="DQ24" s="102"/>
      <c r="DR24" s="5"/>
      <c r="DS24" s="41"/>
      <c r="DT24" s="41"/>
      <c r="DU24" s="41"/>
    </row>
    <row r="25" spans="1:125" s="1" customFormat="1" ht="7.5" customHeight="1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41"/>
      <c r="DT25" s="41"/>
      <c r="DU25" s="41"/>
    </row>
    <row r="26" spans="1:125" s="1" customFormat="1" ht="17.25" customHeight="1" x14ac:dyDescent="0.2">
      <c r="A26" s="5"/>
      <c r="B26" s="105" t="s">
        <v>7</v>
      </c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50"/>
      <c r="BP26" s="50"/>
      <c r="BQ26" s="86" t="s">
        <v>151</v>
      </c>
      <c r="BR26" s="86"/>
      <c r="BS26" s="86"/>
      <c r="BT26" s="86" t="s">
        <v>55</v>
      </c>
      <c r="BU26" s="86"/>
      <c r="BV26" s="86"/>
      <c r="BW26" s="103" t="s">
        <v>6</v>
      </c>
      <c r="BX26" s="104"/>
      <c r="BY26" s="104"/>
      <c r="BZ26" s="86" t="s">
        <v>43</v>
      </c>
      <c r="CA26" s="86"/>
      <c r="CB26" s="86"/>
      <c r="CC26" s="86" t="s">
        <v>44</v>
      </c>
      <c r="CD26" s="86"/>
      <c r="CE26" s="86"/>
      <c r="CF26" s="103" t="s">
        <v>6</v>
      </c>
      <c r="CG26" s="104"/>
      <c r="CH26" s="104"/>
      <c r="CI26" s="50"/>
      <c r="CJ26" s="86"/>
      <c r="CK26" s="86"/>
      <c r="CL26" s="86"/>
      <c r="CM26" s="86"/>
      <c r="CN26" s="86"/>
      <c r="CO26" s="86"/>
      <c r="CP26" s="52"/>
      <c r="CQ26" s="52"/>
      <c r="CR26" s="52"/>
      <c r="CS26" s="51"/>
      <c r="CT26" s="51"/>
      <c r="CU26" s="51"/>
      <c r="CV26" s="51"/>
      <c r="CW26" s="51"/>
      <c r="CX26" s="51"/>
      <c r="CY26" s="52"/>
      <c r="CZ26" s="52"/>
      <c r="DA26" s="52"/>
      <c r="DB26" s="51"/>
      <c r="DC26" s="51"/>
      <c r="DD26" s="51"/>
      <c r="DE26" s="51"/>
      <c r="DF26" s="51"/>
      <c r="DG26" s="51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41"/>
      <c r="DT26" s="41"/>
      <c r="DU26" s="41"/>
    </row>
    <row r="27" spans="1:125" ht="6" customHeight="1" x14ac:dyDescent="0.2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</row>
    <row r="28" spans="1:125" ht="9.9" customHeight="1" x14ac:dyDescent="0.2">
      <c r="A28" s="20"/>
      <c r="B28" s="134" t="s">
        <v>56</v>
      </c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20"/>
      <c r="Z28" s="136"/>
      <c r="AA28" s="137"/>
      <c r="AB28" s="137"/>
      <c r="AC28" s="138"/>
      <c r="AD28" s="20"/>
      <c r="AE28" s="20"/>
      <c r="AF28" s="117" t="s">
        <v>59</v>
      </c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20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106" t="s">
        <v>58</v>
      </c>
      <c r="CO28" s="106"/>
      <c r="CP28" s="107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20"/>
      <c r="DS28" s="40"/>
      <c r="DT28" s="40"/>
      <c r="DU28" s="40"/>
    </row>
    <row r="29" spans="1:125" ht="9.9" customHeight="1" x14ac:dyDescent="0.2">
      <c r="A29" s="20"/>
      <c r="B29" s="135" t="s">
        <v>57</v>
      </c>
      <c r="C29" s="135"/>
      <c r="D29" s="135"/>
      <c r="E29" s="135"/>
      <c r="F29" s="135"/>
      <c r="G29" s="135"/>
      <c r="H29" s="135"/>
      <c r="I29" s="135"/>
      <c r="J29" s="135"/>
      <c r="K29" s="135"/>
      <c r="L29" s="135"/>
      <c r="M29" s="135"/>
      <c r="N29" s="135"/>
      <c r="O29" s="135"/>
      <c r="P29" s="135"/>
      <c r="Q29" s="135"/>
      <c r="R29" s="135"/>
      <c r="S29" s="135"/>
      <c r="T29" s="135"/>
      <c r="U29" s="135"/>
      <c r="V29" s="135"/>
      <c r="W29" s="135"/>
      <c r="X29" s="135"/>
      <c r="Y29" s="20"/>
      <c r="Z29" s="139"/>
      <c r="AA29" s="140"/>
      <c r="AB29" s="140"/>
      <c r="AC29" s="141"/>
      <c r="AD29" s="20"/>
      <c r="AE29" s="20"/>
      <c r="AF29" s="135" t="s">
        <v>60</v>
      </c>
      <c r="AG29" s="135"/>
      <c r="AH29" s="135"/>
      <c r="AI29" s="135"/>
      <c r="AJ29" s="135"/>
      <c r="AK29" s="135"/>
      <c r="AL29" s="135"/>
      <c r="AM29" s="135"/>
      <c r="AN29" s="135"/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  <c r="BA29" s="135"/>
      <c r="BB29" s="135"/>
      <c r="BC29" s="135"/>
      <c r="BD29" s="135"/>
      <c r="BE29" s="135"/>
      <c r="BF29" s="135"/>
      <c r="BG29" s="135"/>
      <c r="BH29" s="135"/>
      <c r="BI29" s="20"/>
      <c r="BJ29" s="98"/>
      <c r="BK29" s="99"/>
      <c r="BL29" s="100"/>
      <c r="BM29" s="98"/>
      <c r="BN29" s="99"/>
      <c r="BO29" s="100"/>
      <c r="BP29" s="98"/>
      <c r="BQ29" s="99"/>
      <c r="BR29" s="100"/>
      <c r="BS29" s="98"/>
      <c r="BT29" s="99"/>
      <c r="BU29" s="100"/>
      <c r="BV29" s="98"/>
      <c r="BW29" s="99"/>
      <c r="BX29" s="100"/>
      <c r="BY29" s="98"/>
      <c r="BZ29" s="99"/>
      <c r="CA29" s="100"/>
      <c r="CB29" s="98"/>
      <c r="CC29" s="99"/>
      <c r="CD29" s="100"/>
      <c r="CE29" s="98"/>
      <c r="CF29" s="99"/>
      <c r="CG29" s="100"/>
      <c r="CH29" s="98"/>
      <c r="CI29" s="99"/>
      <c r="CJ29" s="100"/>
      <c r="CK29" s="98"/>
      <c r="CL29" s="99"/>
      <c r="CM29" s="100"/>
      <c r="CN29" s="106"/>
      <c r="CO29" s="106"/>
      <c r="CP29" s="107"/>
      <c r="CQ29" s="98"/>
      <c r="CR29" s="99"/>
      <c r="CS29" s="100"/>
      <c r="CT29" s="98"/>
      <c r="CU29" s="99"/>
      <c r="CV29" s="100"/>
      <c r="CW29" s="98"/>
      <c r="CX29" s="99"/>
      <c r="CY29" s="100"/>
      <c r="CZ29" s="98"/>
      <c r="DA29" s="99"/>
      <c r="DB29" s="100"/>
      <c r="DC29" s="98"/>
      <c r="DD29" s="99"/>
      <c r="DE29" s="100"/>
      <c r="DF29" s="98"/>
      <c r="DG29" s="99"/>
      <c r="DH29" s="100"/>
      <c r="DI29" s="98"/>
      <c r="DJ29" s="99"/>
      <c r="DK29" s="100"/>
      <c r="DL29" s="98"/>
      <c r="DM29" s="99"/>
      <c r="DN29" s="100"/>
      <c r="DO29" s="98"/>
      <c r="DP29" s="99"/>
      <c r="DQ29" s="100"/>
      <c r="DR29" s="20"/>
      <c r="DS29" s="40"/>
      <c r="DT29" s="40"/>
      <c r="DU29" s="40"/>
    </row>
    <row r="30" spans="1:125" ht="9.9" customHeight="1" x14ac:dyDescent="0.2">
      <c r="A30" s="20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20"/>
      <c r="Z30" s="47"/>
      <c r="AA30" s="47"/>
      <c r="AB30" s="47"/>
      <c r="AC30" s="47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40"/>
      <c r="DT30" s="40"/>
      <c r="DU30" s="40"/>
    </row>
    <row r="31" spans="1:125" ht="17.25" customHeight="1" x14ac:dyDescent="0.2">
      <c r="A31" s="20"/>
      <c r="B31" s="105" t="s">
        <v>10</v>
      </c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86" t="s">
        <v>165</v>
      </c>
      <c r="AF31" s="86"/>
      <c r="AG31" s="86"/>
      <c r="AH31" s="86" t="s">
        <v>153</v>
      </c>
      <c r="AI31" s="86"/>
      <c r="AJ31" s="86"/>
      <c r="AK31" s="86"/>
      <c r="AL31" s="86"/>
      <c r="AM31" s="86"/>
      <c r="AN31" s="86" t="s">
        <v>164</v>
      </c>
      <c r="AO31" s="86"/>
      <c r="AP31" s="86"/>
      <c r="AQ31" s="86" t="s">
        <v>164</v>
      </c>
      <c r="AR31" s="86"/>
      <c r="AS31" s="86"/>
      <c r="AT31" s="86" t="s">
        <v>164</v>
      </c>
      <c r="AU31" s="86"/>
      <c r="AV31" s="86"/>
      <c r="AW31" s="86"/>
      <c r="AX31" s="86"/>
      <c r="AY31" s="86"/>
      <c r="AZ31" s="86" t="s">
        <v>152</v>
      </c>
      <c r="BA31" s="86"/>
      <c r="BB31" s="86"/>
      <c r="BC31" s="86" t="s">
        <v>152</v>
      </c>
      <c r="BD31" s="86"/>
      <c r="BE31" s="86"/>
      <c r="BF31" s="86" t="s">
        <v>152</v>
      </c>
      <c r="BG31" s="86"/>
      <c r="BH31" s="86"/>
      <c r="BI31" s="86"/>
      <c r="BJ31" s="86"/>
      <c r="BK31" s="86"/>
      <c r="BL31" s="86" t="s">
        <v>153</v>
      </c>
      <c r="BM31" s="86"/>
      <c r="BN31" s="86"/>
      <c r="BO31" s="86" t="s">
        <v>153</v>
      </c>
      <c r="BP31" s="86"/>
      <c r="BQ31" s="86"/>
      <c r="BR31" s="86"/>
      <c r="BS31" s="86"/>
      <c r="BT31" s="86"/>
      <c r="BU31" s="86" t="s">
        <v>153</v>
      </c>
      <c r="BV31" s="86"/>
      <c r="BW31" s="86"/>
      <c r="BX31" s="86"/>
      <c r="BY31" s="86"/>
      <c r="BZ31" s="86"/>
      <c r="CA31" s="86"/>
      <c r="CB31" s="86"/>
      <c r="CC31" s="86"/>
      <c r="CD31" s="86"/>
      <c r="CE31" s="86"/>
      <c r="CF31" s="86"/>
      <c r="CG31" s="86"/>
      <c r="CH31" s="86"/>
      <c r="CI31" s="86"/>
      <c r="CJ31" s="86"/>
      <c r="CK31" s="86"/>
      <c r="CL31" s="86"/>
      <c r="CM31" s="123"/>
      <c r="CN31" s="123"/>
      <c r="CO31" s="123"/>
      <c r="CP31" s="123"/>
      <c r="CQ31" s="123"/>
      <c r="CR31" s="123"/>
      <c r="CS31" s="123"/>
      <c r="CT31" s="123"/>
      <c r="CU31" s="123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</row>
    <row r="32" spans="1:125" ht="6.75" customHeight="1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40"/>
      <c r="DT32" s="40"/>
      <c r="DU32" s="40"/>
    </row>
    <row r="33" spans="1:125" ht="17.25" customHeight="1" x14ac:dyDescent="0.2">
      <c r="A33" s="20"/>
      <c r="B33" s="23" t="s">
        <v>11</v>
      </c>
      <c r="C33" s="20"/>
      <c r="D33" s="20"/>
      <c r="E33" s="20"/>
      <c r="F33" s="86" t="s">
        <v>53</v>
      </c>
      <c r="G33" s="86"/>
      <c r="H33" s="86"/>
      <c r="I33" s="86" t="s">
        <v>52</v>
      </c>
      <c r="J33" s="86"/>
      <c r="K33" s="86"/>
      <c r="L33" s="86" t="s">
        <v>52</v>
      </c>
      <c r="M33" s="86"/>
      <c r="N33" s="86"/>
      <c r="O33" s="20"/>
      <c r="P33" s="23" t="s">
        <v>12</v>
      </c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2" t="s">
        <v>14</v>
      </c>
      <c r="CX33" s="20"/>
      <c r="CY33" s="20"/>
      <c r="CZ33" s="86"/>
      <c r="DA33" s="86"/>
      <c r="DB33" s="86"/>
      <c r="DC33" s="86"/>
      <c r="DD33" s="86"/>
      <c r="DE33" s="86"/>
      <c r="DF33" s="86"/>
      <c r="DG33" s="86"/>
      <c r="DH33" s="86"/>
      <c r="DI33" s="20"/>
      <c r="DJ33" s="23" t="s">
        <v>13</v>
      </c>
      <c r="DK33" s="20"/>
      <c r="DL33" s="20"/>
      <c r="DM33" s="20"/>
      <c r="DN33" s="20"/>
      <c r="DO33" s="20"/>
      <c r="DP33" s="20"/>
      <c r="DQ33" s="20"/>
      <c r="DR33" s="20"/>
      <c r="DS33" s="40"/>
      <c r="DT33" s="40"/>
      <c r="DU33" s="40"/>
    </row>
    <row r="34" spans="1:125" ht="18" customHeight="1" x14ac:dyDescent="0.2">
      <c r="A34" s="20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20"/>
      <c r="DS34" s="40"/>
      <c r="DT34" s="40"/>
      <c r="DU34" s="40"/>
    </row>
    <row r="35" spans="1:125" ht="13.5" customHeight="1" x14ac:dyDescent="0.25">
      <c r="A35" s="20"/>
      <c r="B35" s="108" t="s">
        <v>15</v>
      </c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108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08"/>
      <c r="AL35" s="108"/>
      <c r="AM35" s="108"/>
      <c r="AN35" s="108"/>
      <c r="AO35" s="108"/>
      <c r="AP35" s="108"/>
      <c r="AQ35" s="108"/>
      <c r="AR35" s="108"/>
      <c r="AS35" s="108"/>
      <c r="AT35" s="108"/>
      <c r="AU35" s="108"/>
      <c r="AV35" s="108"/>
      <c r="AW35" s="108"/>
      <c r="AX35" s="108"/>
      <c r="AY35" s="108"/>
      <c r="AZ35" s="108"/>
      <c r="BA35" s="108"/>
      <c r="BB35" s="108"/>
      <c r="BC35" s="108"/>
      <c r="BD35" s="108"/>
      <c r="BE35" s="108"/>
      <c r="BF35" s="108"/>
      <c r="BG35" s="108"/>
      <c r="BH35" s="108"/>
      <c r="BI35" s="108"/>
      <c r="BJ35" s="109"/>
      <c r="BK35" s="115" t="s">
        <v>17</v>
      </c>
      <c r="BL35" s="108"/>
      <c r="BM35" s="108"/>
      <c r="BN35" s="108"/>
      <c r="BO35" s="108"/>
      <c r="BP35" s="108"/>
      <c r="BQ35" s="108"/>
      <c r="BR35" s="108"/>
      <c r="BS35" s="108"/>
      <c r="BT35" s="108"/>
      <c r="BU35" s="108"/>
      <c r="BV35" s="108"/>
      <c r="BW35" s="108"/>
      <c r="BX35" s="108"/>
      <c r="BY35" s="108"/>
      <c r="BZ35" s="108"/>
      <c r="CA35" s="108"/>
      <c r="CB35" s="108"/>
      <c r="CC35" s="108"/>
      <c r="CD35" s="108"/>
      <c r="CE35" s="108"/>
      <c r="CF35" s="108"/>
      <c r="CG35" s="108"/>
      <c r="CH35" s="108"/>
      <c r="CI35" s="108"/>
      <c r="CJ35" s="108"/>
      <c r="CK35" s="108"/>
      <c r="CL35" s="108"/>
      <c r="CM35" s="108"/>
      <c r="CN35" s="108"/>
      <c r="CO35" s="108"/>
      <c r="CP35" s="108"/>
      <c r="CQ35" s="108"/>
      <c r="CR35" s="108"/>
      <c r="CS35" s="108"/>
      <c r="CT35" s="108"/>
      <c r="CU35" s="108"/>
      <c r="CV35" s="108"/>
      <c r="CW35" s="108"/>
      <c r="CX35" s="108"/>
      <c r="CY35" s="108"/>
      <c r="CZ35" s="108"/>
      <c r="DA35" s="108"/>
      <c r="DB35" s="108"/>
      <c r="DC35" s="108"/>
      <c r="DD35" s="108"/>
      <c r="DE35" s="108"/>
      <c r="DF35" s="108"/>
      <c r="DG35" s="108"/>
      <c r="DH35" s="108"/>
      <c r="DI35" s="108"/>
      <c r="DJ35" s="108"/>
      <c r="DK35" s="108"/>
      <c r="DL35" s="108"/>
      <c r="DM35" s="108"/>
      <c r="DN35" s="108"/>
      <c r="DO35" s="108"/>
      <c r="DP35" s="108"/>
      <c r="DQ35" s="108"/>
      <c r="DR35" s="20"/>
      <c r="DS35" s="40"/>
      <c r="DT35" s="40"/>
      <c r="DU35" s="40"/>
    </row>
    <row r="36" spans="1:125" ht="12" x14ac:dyDescent="0.25">
      <c r="A36" s="20"/>
      <c r="B36" s="110" t="s">
        <v>16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  <c r="AZ36" s="110"/>
      <c r="BA36" s="110"/>
      <c r="BB36" s="110"/>
      <c r="BC36" s="110"/>
      <c r="BD36" s="110"/>
      <c r="BE36" s="110"/>
      <c r="BF36" s="110"/>
      <c r="BG36" s="110"/>
      <c r="BH36" s="110"/>
      <c r="BI36" s="110"/>
      <c r="BJ36" s="111"/>
      <c r="BK36" s="116" t="s">
        <v>18</v>
      </c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117"/>
      <c r="BW36" s="117"/>
      <c r="BX36" s="117"/>
      <c r="BY36" s="117"/>
      <c r="BZ36" s="117"/>
      <c r="CA36" s="117"/>
      <c r="CB36" s="117"/>
      <c r="CC36" s="117"/>
      <c r="CD36" s="117"/>
      <c r="CE36" s="117"/>
      <c r="CF36" s="117"/>
      <c r="CG36" s="117"/>
      <c r="CH36" s="117"/>
      <c r="CI36" s="117"/>
      <c r="CJ36" s="117"/>
      <c r="CK36" s="117"/>
      <c r="CL36" s="117"/>
      <c r="CM36" s="117"/>
      <c r="CN36" s="117"/>
      <c r="CO36" s="117"/>
      <c r="CP36" s="117"/>
      <c r="CQ36" s="117"/>
      <c r="CR36" s="117"/>
      <c r="CS36" s="117"/>
      <c r="CT36" s="117"/>
      <c r="CU36" s="117"/>
      <c r="CV36" s="117"/>
      <c r="CW36" s="117"/>
      <c r="CX36" s="117"/>
      <c r="CY36" s="117"/>
      <c r="CZ36" s="117"/>
      <c r="DA36" s="117"/>
      <c r="DB36" s="117"/>
      <c r="DC36" s="117"/>
      <c r="DD36" s="117"/>
      <c r="DE36" s="117"/>
      <c r="DF36" s="117"/>
      <c r="DG36" s="117"/>
      <c r="DH36" s="117"/>
      <c r="DI36" s="117"/>
      <c r="DJ36" s="117"/>
      <c r="DK36" s="117"/>
      <c r="DL36" s="117"/>
      <c r="DM36" s="117"/>
      <c r="DN36" s="117"/>
      <c r="DO36" s="117"/>
      <c r="DP36" s="117"/>
      <c r="DQ36" s="117"/>
      <c r="DR36" s="20"/>
      <c r="DS36" s="40"/>
      <c r="DT36" s="40"/>
      <c r="DU36" s="40"/>
    </row>
    <row r="37" spans="1:125" ht="3.75" customHeight="1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1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</row>
    <row r="38" spans="1:125" ht="3.75" customHeight="1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119" t="s">
        <v>20</v>
      </c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21"/>
      <c r="BK38" s="20"/>
      <c r="BL38" s="118" t="s">
        <v>19</v>
      </c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8"/>
      <c r="CD38" s="118"/>
      <c r="CE38" s="118"/>
      <c r="CF38" s="118"/>
      <c r="CG38" s="118"/>
      <c r="CH38" s="118"/>
      <c r="CI38" s="118"/>
      <c r="CJ38" s="118"/>
      <c r="CK38" s="118"/>
      <c r="CL38" s="118"/>
      <c r="CM38" s="118"/>
      <c r="CN38" s="118"/>
      <c r="CO38" s="118"/>
      <c r="CP38" s="118"/>
      <c r="CQ38" s="118"/>
      <c r="CR38" s="118"/>
      <c r="CS38" s="118"/>
      <c r="CT38" s="118"/>
      <c r="CU38" s="118"/>
      <c r="CV38" s="118"/>
      <c r="CW38" s="118"/>
      <c r="CX38" s="118"/>
      <c r="CY38" s="118"/>
      <c r="CZ38" s="118"/>
      <c r="DA38" s="118"/>
      <c r="DB38" s="118"/>
      <c r="DC38" s="118"/>
      <c r="DD38" s="118"/>
      <c r="DE38" s="118"/>
      <c r="DF38" s="118"/>
      <c r="DG38" s="118"/>
      <c r="DH38" s="20"/>
      <c r="DI38" s="95"/>
      <c r="DJ38" s="96"/>
      <c r="DK38" s="97"/>
      <c r="DL38" s="95"/>
      <c r="DM38" s="96"/>
      <c r="DN38" s="97"/>
      <c r="DO38" s="20"/>
      <c r="DP38" s="20"/>
      <c r="DQ38" s="20"/>
      <c r="DR38" s="20"/>
      <c r="DS38" s="40"/>
      <c r="DT38" s="40"/>
      <c r="DU38" s="40"/>
    </row>
    <row r="39" spans="1:125" ht="13.5" customHeight="1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95" t="s">
        <v>44</v>
      </c>
      <c r="O39" s="96"/>
      <c r="P39" s="97"/>
      <c r="Q39" s="20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119"/>
      <c r="BF39" s="119"/>
      <c r="BG39" s="119"/>
      <c r="BH39" s="119"/>
      <c r="BI39" s="119"/>
      <c r="BJ39" s="21"/>
      <c r="BK39" s="20"/>
      <c r="BL39" s="118"/>
      <c r="BM39" s="118"/>
      <c r="BN39" s="118"/>
      <c r="BO39" s="118"/>
      <c r="BP39" s="118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8"/>
      <c r="CD39" s="118"/>
      <c r="CE39" s="118"/>
      <c r="CF39" s="118"/>
      <c r="CG39" s="118"/>
      <c r="CH39" s="118"/>
      <c r="CI39" s="118"/>
      <c r="CJ39" s="118"/>
      <c r="CK39" s="118"/>
      <c r="CL39" s="118"/>
      <c r="CM39" s="118"/>
      <c r="CN39" s="118"/>
      <c r="CO39" s="118"/>
      <c r="CP39" s="118"/>
      <c r="CQ39" s="118"/>
      <c r="CR39" s="118"/>
      <c r="CS39" s="118"/>
      <c r="CT39" s="118"/>
      <c r="CU39" s="118"/>
      <c r="CV39" s="118"/>
      <c r="CW39" s="118"/>
      <c r="CX39" s="118"/>
      <c r="CY39" s="118"/>
      <c r="CZ39" s="118"/>
      <c r="DA39" s="118"/>
      <c r="DB39" s="118"/>
      <c r="DC39" s="118"/>
      <c r="DD39" s="118"/>
      <c r="DE39" s="118"/>
      <c r="DF39" s="118"/>
      <c r="DG39" s="118"/>
      <c r="DH39" s="20"/>
      <c r="DI39" s="98"/>
      <c r="DJ39" s="99"/>
      <c r="DK39" s="100"/>
      <c r="DL39" s="98"/>
      <c r="DM39" s="99"/>
      <c r="DN39" s="100"/>
      <c r="DO39" s="20"/>
      <c r="DP39" s="20"/>
      <c r="DQ39" s="20"/>
      <c r="DR39" s="20"/>
      <c r="DS39" s="40"/>
      <c r="DT39" s="40"/>
      <c r="DU39" s="40"/>
    </row>
    <row r="40" spans="1:125" ht="3.75" customHeight="1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98"/>
      <c r="O40" s="99"/>
      <c r="P40" s="100"/>
      <c r="Q40" s="20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119"/>
      <c r="BF40" s="119"/>
      <c r="BG40" s="119"/>
      <c r="BH40" s="119"/>
      <c r="BI40" s="119"/>
      <c r="BJ40" s="21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</row>
    <row r="41" spans="1:125" ht="4.5" customHeight="1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120"/>
      <c r="S41" s="120"/>
      <c r="T41" s="120"/>
      <c r="U41" s="120"/>
      <c r="V41" s="120"/>
      <c r="W41" s="120"/>
      <c r="X41" s="120"/>
      <c r="Y41" s="120"/>
      <c r="Z41" s="120"/>
      <c r="AA41" s="120"/>
      <c r="AB41" s="120"/>
      <c r="AC41" s="120"/>
      <c r="AD41" s="120"/>
      <c r="AE41" s="120"/>
      <c r="AF41" s="120"/>
      <c r="AG41" s="120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  <c r="AZ41" s="120"/>
      <c r="BA41" s="120"/>
      <c r="BB41" s="120"/>
      <c r="BC41" s="120"/>
      <c r="BD41" s="120"/>
      <c r="BE41" s="120"/>
      <c r="BF41" s="120"/>
      <c r="BG41" s="120"/>
      <c r="BH41" s="120"/>
      <c r="BI41" s="120"/>
      <c r="BJ41" s="21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</row>
    <row r="42" spans="1:125" ht="17.25" customHeight="1" x14ac:dyDescent="0.2">
      <c r="A42" s="20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  <c r="BD42" s="86"/>
      <c r="BE42" s="86"/>
      <c r="BF42" s="86"/>
      <c r="BG42" s="86"/>
      <c r="BH42" s="86"/>
      <c r="BI42" s="86"/>
      <c r="BJ42" s="21"/>
      <c r="BK42" s="20"/>
      <c r="BL42" s="20"/>
      <c r="BM42" s="20"/>
      <c r="BN42" s="20"/>
      <c r="BO42" s="23" t="s">
        <v>21</v>
      </c>
      <c r="BP42" s="20"/>
      <c r="BQ42" s="20"/>
      <c r="BR42" s="20"/>
      <c r="BS42" s="20"/>
      <c r="BT42" s="20"/>
      <c r="BU42" s="20"/>
      <c r="BV42" s="20"/>
      <c r="BW42" s="20"/>
      <c r="BX42" s="20"/>
      <c r="BY42" s="86"/>
      <c r="BZ42" s="86"/>
      <c r="CA42" s="86"/>
      <c r="CB42" s="86"/>
      <c r="CC42" s="86"/>
      <c r="CD42" s="86"/>
      <c r="CE42" s="86"/>
      <c r="CF42" s="86"/>
      <c r="CG42" s="86"/>
      <c r="CH42" s="20"/>
      <c r="CI42" s="20"/>
      <c r="CJ42" s="20"/>
      <c r="CK42" s="20"/>
      <c r="CL42" s="20"/>
      <c r="CM42" s="20"/>
      <c r="CN42" s="20"/>
      <c r="CO42" s="20"/>
      <c r="CP42" s="20"/>
      <c r="CQ42" s="23" t="s">
        <v>12</v>
      </c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40"/>
      <c r="DT42" s="40"/>
      <c r="DU42" s="40"/>
    </row>
    <row r="43" spans="1:125" ht="3" customHeight="1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1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40"/>
      <c r="DT43" s="40"/>
      <c r="DU43" s="40"/>
    </row>
    <row r="44" spans="1:125" ht="12" customHeight="1" x14ac:dyDescent="0.2">
      <c r="A44" s="20"/>
      <c r="B44" s="95"/>
      <c r="C44" s="96"/>
      <c r="D44" s="97"/>
      <c r="E44" s="95"/>
      <c r="F44" s="96"/>
      <c r="G44" s="97"/>
      <c r="H44" s="95"/>
      <c r="I44" s="96"/>
      <c r="J44" s="97"/>
      <c r="K44" s="95"/>
      <c r="L44" s="96"/>
      <c r="M44" s="97"/>
      <c r="N44" s="95"/>
      <c r="O44" s="96"/>
      <c r="P44" s="97"/>
      <c r="Q44" s="95"/>
      <c r="R44" s="96"/>
      <c r="S44" s="97"/>
      <c r="T44" s="95"/>
      <c r="U44" s="96"/>
      <c r="V44" s="97"/>
      <c r="W44" s="95"/>
      <c r="X44" s="96"/>
      <c r="Y44" s="97"/>
      <c r="Z44" s="95"/>
      <c r="AA44" s="96"/>
      <c r="AB44" s="97"/>
      <c r="AC44" s="95"/>
      <c r="AD44" s="96"/>
      <c r="AE44" s="97"/>
      <c r="AF44" s="95"/>
      <c r="AG44" s="96"/>
      <c r="AH44" s="97"/>
      <c r="AI44" s="95"/>
      <c r="AJ44" s="96"/>
      <c r="AK44" s="97"/>
      <c r="AL44" s="95"/>
      <c r="AM44" s="96"/>
      <c r="AN44" s="97"/>
      <c r="AO44" s="95"/>
      <c r="AP44" s="96"/>
      <c r="AQ44" s="97"/>
      <c r="AR44" s="95"/>
      <c r="AS44" s="96"/>
      <c r="AT44" s="97"/>
      <c r="AU44" s="95"/>
      <c r="AV44" s="96"/>
      <c r="AW44" s="97"/>
      <c r="AX44" s="95"/>
      <c r="AY44" s="96"/>
      <c r="AZ44" s="97"/>
      <c r="BA44" s="95"/>
      <c r="BB44" s="96"/>
      <c r="BC44" s="97"/>
      <c r="BD44" s="95"/>
      <c r="BE44" s="96"/>
      <c r="BF44" s="97"/>
      <c r="BG44" s="95"/>
      <c r="BH44" s="96"/>
      <c r="BI44" s="97"/>
      <c r="BJ44" s="21"/>
      <c r="BK44" s="113" t="s">
        <v>14</v>
      </c>
      <c r="BL44" s="114"/>
      <c r="BM44" s="114"/>
      <c r="BN44" s="114"/>
      <c r="BO44" s="114"/>
      <c r="BP44" s="114"/>
      <c r="BQ44" s="114"/>
      <c r="BR44" s="114"/>
      <c r="BS44" s="114"/>
      <c r="BT44" s="114"/>
      <c r="BU44" s="114"/>
      <c r="BV44" s="114"/>
      <c r="BW44" s="114"/>
      <c r="BX44" s="114"/>
      <c r="BY44" s="114"/>
      <c r="BZ44" s="114"/>
      <c r="CA44" s="114"/>
      <c r="CB44" s="114"/>
      <c r="CC44" s="114"/>
      <c r="CD44" s="114"/>
      <c r="CE44" s="114"/>
      <c r="CF44" s="114"/>
      <c r="CG44" s="114"/>
      <c r="CH44" s="114"/>
      <c r="CI44" s="114"/>
      <c r="CJ44" s="114"/>
      <c r="CK44" s="114"/>
      <c r="CL44" s="114"/>
      <c r="CM44" s="24"/>
      <c r="CN44" s="24"/>
      <c r="CO44" s="24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</row>
    <row r="45" spans="1:125" ht="5.25" customHeight="1" x14ac:dyDescent="0.2">
      <c r="A45" s="20"/>
      <c r="B45" s="98"/>
      <c r="C45" s="99"/>
      <c r="D45" s="100"/>
      <c r="E45" s="98"/>
      <c r="F45" s="99"/>
      <c r="G45" s="100"/>
      <c r="H45" s="98"/>
      <c r="I45" s="99"/>
      <c r="J45" s="100"/>
      <c r="K45" s="98"/>
      <c r="L45" s="99"/>
      <c r="M45" s="100"/>
      <c r="N45" s="98"/>
      <c r="O45" s="99"/>
      <c r="P45" s="100"/>
      <c r="Q45" s="98"/>
      <c r="R45" s="99"/>
      <c r="S45" s="100"/>
      <c r="T45" s="98"/>
      <c r="U45" s="99"/>
      <c r="V45" s="100"/>
      <c r="W45" s="98"/>
      <c r="X45" s="99"/>
      <c r="Y45" s="100"/>
      <c r="Z45" s="98"/>
      <c r="AA45" s="99"/>
      <c r="AB45" s="100"/>
      <c r="AC45" s="98"/>
      <c r="AD45" s="99"/>
      <c r="AE45" s="100"/>
      <c r="AF45" s="98"/>
      <c r="AG45" s="99"/>
      <c r="AH45" s="100"/>
      <c r="AI45" s="98"/>
      <c r="AJ45" s="99"/>
      <c r="AK45" s="100"/>
      <c r="AL45" s="98"/>
      <c r="AM45" s="99"/>
      <c r="AN45" s="100"/>
      <c r="AO45" s="98"/>
      <c r="AP45" s="99"/>
      <c r="AQ45" s="100"/>
      <c r="AR45" s="98"/>
      <c r="AS45" s="99"/>
      <c r="AT45" s="100"/>
      <c r="AU45" s="98"/>
      <c r="AV45" s="99"/>
      <c r="AW45" s="100"/>
      <c r="AX45" s="98"/>
      <c r="AY45" s="99"/>
      <c r="AZ45" s="100"/>
      <c r="BA45" s="98"/>
      <c r="BB45" s="99"/>
      <c r="BC45" s="100"/>
      <c r="BD45" s="98"/>
      <c r="BE45" s="99"/>
      <c r="BF45" s="100"/>
      <c r="BG45" s="98"/>
      <c r="BH45" s="99"/>
      <c r="BI45" s="100"/>
      <c r="BJ45" s="21"/>
      <c r="BK45" s="113"/>
      <c r="BL45" s="114"/>
      <c r="BM45" s="114"/>
      <c r="BN45" s="114"/>
      <c r="BO45" s="114"/>
      <c r="BP45" s="114"/>
      <c r="BQ45" s="114"/>
      <c r="BR45" s="114"/>
      <c r="BS45" s="114"/>
      <c r="BT45" s="114"/>
      <c r="BU45" s="114"/>
      <c r="BV45" s="114"/>
      <c r="BW45" s="114"/>
      <c r="BX45" s="114"/>
      <c r="BY45" s="114"/>
      <c r="BZ45" s="114"/>
      <c r="CA45" s="114"/>
      <c r="CB45" s="114"/>
      <c r="CC45" s="114"/>
      <c r="CD45" s="114"/>
      <c r="CE45" s="114"/>
      <c r="CF45" s="114"/>
      <c r="CG45" s="114"/>
      <c r="CH45" s="114"/>
      <c r="CI45" s="114"/>
      <c r="CJ45" s="114"/>
      <c r="CK45" s="114"/>
      <c r="CL45" s="114"/>
      <c r="CM45" s="24"/>
      <c r="CN45" s="24"/>
      <c r="CO45" s="24"/>
      <c r="CP45" s="20"/>
      <c r="CQ45" s="20"/>
      <c r="CR45" s="95"/>
      <c r="CS45" s="96"/>
      <c r="CT45" s="97"/>
      <c r="CU45" s="95"/>
      <c r="CV45" s="96"/>
      <c r="CW45" s="97"/>
      <c r="CX45" s="95"/>
      <c r="CY45" s="96"/>
      <c r="CZ45" s="97"/>
      <c r="DA45" s="20"/>
      <c r="DB45" s="20"/>
      <c r="DC45" s="20"/>
      <c r="DD45" s="20"/>
      <c r="DE45" s="20"/>
      <c r="DF45" s="112" t="s">
        <v>13</v>
      </c>
      <c r="DG45" s="112"/>
      <c r="DH45" s="112"/>
      <c r="DI45" s="112"/>
      <c r="DJ45" s="112"/>
      <c r="DK45" s="112"/>
      <c r="DL45" s="112"/>
      <c r="DM45" s="112"/>
      <c r="DN45" s="112"/>
      <c r="DO45" s="112"/>
      <c r="DP45" s="112"/>
      <c r="DQ45" s="112"/>
      <c r="DR45" s="20"/>
      <c r="DS45" s="40"/>
      <c r="DT45" s="40"/>
      <c r="DU45" s="40"/>
    </row>
    <row r="46" spans="1:125" ht="3" customHeight="1" x14ac:dyDescent="0.2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1"/>
      <c r="BK46" s="113"/>
      <c r="BL46" s="114"/>
      <c r="BM46" s="114"/>
      <c r="BN46" s="114"/>
      <c r="BO46" s="114"/>
      <c r="BP46" s="114"/>
      <c r="BQ46" s="114"/>
      <c r="BR46" s="114"/>
      <c r="BS46" s="114"/>
      <c r="BT46" s="114"/>
      <c r="BU46" s="114"/>
      <c r="BV46" s="114"/>
      <c r="BW46" s="114"/>
      <c r="BX46" s="114"/>
      <c r="BY46" s="114"/>
      <c r="BZ46" s="114"/>
      <c r="CA46" s="114"/>
      <c r="CB46" s="114"/>
      <c r="CC46" s="114"/>
      <c r="CD46" s="114"/>
      <c r="CE46" s="114"/>
      <c r="CF46" s="114"/>
      <c r="CG46" s="114"/>
      <c r="CH46" s="114"/>
      <c r="CI46" s="114"/>
      <c r="CJ46" s="114"/>
      <c r="CK46" s="114"/>
      <c r="CL46" s="114"/>
      <c r="CM46" s="24"/>
      <c r="CN46" s="24"/>
      <c r="CO46" s="24"/>
      <c r="CP46" s="20"/>
      <c r="CQ46" s="20"/>
      <c r="CR46" s="122"/>
      <c r="CS46" s="123"/>
      <c r="CT46" s="124"/>
      <c r="CU46" s="122"/>
      <c r="CV46" s="123"/>
      <c r="CW46" s="124"/>
      <c r="CX46" s="122"/>
      <c r="CY46" s="123"/>
      <c r="CZ46" s="124"/>
      <c r="DA46" s="20"/>
      <c r="DB46" s="20"/>
      <c r="DC46" s="20"/>
      <c r="DD46" s="20"/>
      <c r="DE46" s="20"/>
      <c r="DF46" s="112"/>
      <c r="DG46" s="112"/>
      <c r="DH46" s="112"/>
      <c r="DI46" s="112"/>
      <c r="DJ46" s="112"/>
      <c r="DK46" s="112"/>
      <c r="DL46" s="112"/>
      <c r="DM46" s="112"/>
      <c r="DN46" s="112"/>
      <c r="DO46" s="112"/>
      <c r="DP46" s="112"/>
      <c r="DQ46" s="112"/>
      <c r="DR46" s="20"/>
      <c r="DS46" s="40"/>
      <c r="DT46" s="40"/>
      <c r="DU46" s="40"/>
    </row>
    <row r="47" spans="1:125" ht="9.75" customHeight="1" x14ac:dyDescent="0.2">
      <c r="A47" s="20"/>
      <c r="B47" s="95"/>
      <c r="C47" s="96"/>
      <c r="D47" s="97"/>
      <c r="E47" s="95"/>
      <c r="F47" s="96"/>
      <c r="G47" s="97"/>
      <c r="H47" s="95"/>
      <c r="I47" s="96"/>
      <c r="J47" s="97"/>
      <c r="K47" s="95"/>
      <c r="L47" s="96"/>
      <c r="M47" s="97"/>
      <c r="N47" s="95"/>
      <c r="O47" s="96"/>
      <c r="P47" s="97"/>
      <c r="Q47" s="95"/>
      <c r="R47" s="96"/>
      <c r="S47" s="97"/>
      <c r="T47" s="95"/>
      <c r="U47" s="96"/>
      <c r="V47" s="97"/>
      <c r="W47" s="95"/>
      <c r="X47" s="96"/>
      <c r="Y47" s="97"/>
      <c r="Z47" s="95"/>
      <c r="AA47" s="96"/>
      <c r="AB47" s="97"/>
      <c r="AC47" s="95"/>
      <c r="AD47" s="96"/>
      <c r="AE47" s="97"/>
      <c r="AF47" s="95"/>
      <c r="AG47" s="96"/>
      <c r="AH47" s="97"/>
      <c r="AI47" s="95"/>
      <c r="AJ47" s="96"/>
      <c r="AK47" s="97"/>
      <c r="AL47" s="95"/>
      <c r="AM47" s="96"/>
      <c r="AN47" s="97"/>
      <c r="AO47" s="95"/>
      <c r="AP47" s="96"/>
      <c r="AQ47" s="97"/>
      <c r="AR47" s="95"/>
      <c r="AS47" s="96"/>
      <c r="AT47" s="97"/>
      <c r="AU47" s="95"/>
      <c r="AV47" s="96"/>
      <c r="AW47" s="97"/>
      <c r="AX47" s="95"/>
      <c r="AY47" s="96"/>
      <c r="AZ47" s="97"/>
      <c r="BA47" s="95"/>
      <c r="BB47" s="96"/>
      <c r="BC47" s="97"/>
      <c r="BD47" s="95"/>
      <c r="BE47" s="96"/>
      <c r="BF47" s="97"/>
      <c r="BG47" s="95"/>
      <c r="BH47" s="96"/>
      <c r="BI47" s="97"/>
      <c r="BJ47" s="21"/>
      <c r="BK47" s="113"/>
      <c r="BL47" s="114"/>
      <c r="BM47" s="114"/>
      <c r="BN47" s="114"/>
      <c r="BO47" s="114"/>
      <c r="BP47" s="114"/>
      <c r="BQ47" s="114"/>
      <c r="BR47" s="114"/>
      <c r="BS47" s="114"/>
      <c r="BT47" s="114"/>
      <c r="BU47" s="114"/>
      <c r="BV47" s="114"/>
      <c r="BW47" s="114"/>
      <c r="BX47" s="114"/>
      <c r="BY47" s="114"/>
      <c r="BZ47" s="114"/>
      <c r="CA47" s="114"/>
      <c r="CB47" s="114"/>
      <c r="CC47" s="114"/>
      <c r="CD47" s="114"/>
      <c r="CE47" s="114"/>
      <c r="CF47" s="114"/>
      <c r="CG47" s="114"/>
      <c r="CH47" s="114"/>
      <c r="CI47" s="114"/>
      <c r="CJ47" s="114"/>
      <c r="CK47" s="114"/>
      <c r="CL47" s="114"/>
      <c r="CM47" s="24"/>
      <c r="CN47" s="24"/>
      <c r="CO47" s="24"/>
      <c r="CP47" s="20"/>
      <c r="CQ47" s="20"/>
      <c r="CR47" s="98"/>
      <c r="CS47" s="99"/>
      <c r="CT47" s="100"/>
      <c r="CU47" s="98"/>
      <c r="CV47" s="99"/>
      <c r="CW47" s="100"/>
      <c r="CX47" s="98"/>
      <c r="CY47" s="99"/>
      <c r="CZ47" s="100"/>
      <c r="DA47" s="20"/>
      <c r="DB47" s="20"/>
      <c r="DC47" s="20"/>
      <c r="DD47" s="20"/>
      <c r="DE47" s="20"/>
      <c r="DF47" s="112"/>
      <c r="DG47" s="112"/>
      <c r="DH47" s="112"/>
      <c r="DI47" s="112"/>
      <c r="DJ47" s="112"/>
      <c r="DK47" s="112"/>
      <c r="DL47" s="112"/>
      <c r="DM47" s="112"/>
      <c r="DN47" s="112"/>
      <c r="DO47" s="112"/>
      <c r="DP47" s="112"/>
      <c r="DQ47" s="112"/>
      <c r="DR47" s="20"/>
      <c r="DS47" s="40"/>
      <c r="DT47" s="40"/>
      <c r="DU47" s="40"/>
    </row>
    <row r="48" spans="1:125" ht="8.25" customHeight="1" x14ac:dyDescent="0.2">
      <c r="A48" s="20"/>
      <c r="B48" s="98"/>
      <c r="C48" s="99"/>
      <c r="D48" s="100"/>
      <c r="E48" s="98"/>
      <c r="F48" s="99"/>
      <c r="G48" s="100"/>
      <c r="H48" s="98"/>
      <c r="I48" s="99"/>
      <c r="J48" s="100"/>
      <c r="K48" s="98"/>
      <c r="L48" s="99"/>
      <c r="M48" s="100"/>
      <c r="N48" s="98"/>
      <c r="O48" s="99"/>
      <c r="P48" s="100"/>
      <c r="Q48" s="98"/>
      <c r="R48" s="99"/>
      <c r="S48" s="100"/>
      <c r="T48" s="98"/>
      <c r="U48" s="99"/>
      <c r="V48" s="100"/>
      <c r="W48" s="98"/>
      <c r="X48" s="99"/>
      <c r="Y48" s="100"/>
      <c r="Z48" s="98"/>
      <c r="AA48" s="99"/>
      <c r="AB48" s="100"/>
      <c r="AC48" s="98"/>
      <c r="AD48" s="99"/>
      <c r="AE48" s="100"/>
      <c r="AF48" s="98"/>
      <c r="AG48" s="99"/>
      <c r="AH48" s="100"/>
      <c r="AI48" s="98"/>
      <c r="AJ48" s="99"/>
      <c r="AK48" s="100"/>
      <c r="AL48" s="98"/>
      <c r="AM48" s="99"/>
      <c r="AN48" s="100"/>
      <c r="AO48" s="98"/>
      <c r="AP48" s="99"/>
      <c r="AQ48" s="100"/>
      <c r="AR48" s="98"/>
      <c r="AS48" s="99"/>
      <c r="AT48" s="100"/>
      <c r="AU48" s="98"/>
      <c r="AV48" s="99"/>
      <c r="AW48" s="100"/>
      <c r="AX48" s="98"/>
      <c r="AY48" s="99"/>
      <c r="AZ48" s="100"/>
      <c r="BA48" s="98"/>
      <c r="BB48" s="99"/>
      <c r="BC48" s="100"/>
      <c r="BD48" s="98"/>
      <c r="BE48" s="99"/>
      <c r="BF48" s="100"/>
      <c r="BG48" s="98"/>
      <c r="BH48" s="99"/>
      <c r="BI48" s="100"/>
      <c r="BJ48" s="21"/>
      <c r="BK48" s="113"/>
      <c r="BL48" s="114"/>
      <c r="BM48" s="114"/>
      <c r="BN48" s="114"/>
      <c r="BO48" s="114"/>
      <c r="BP48" s="114"/>
      <c r="BQ48" s="114"/>
      <c r="BR48" s="114"/>
      <c r="BS48" s="114"/>
      <c r="BT48" s="114"/>
      <c r="BU48" s="114"/>
      <c r="BV48" s="114"/>
      <c r="BW48" s="114"/>
      <c r="BX48" s="114"/>
      <c r="BY48" s="114"/>
      <c r="BZ48" s="114"/>
      <c r="CA48" s="114"/>
      <c r="CB48" s="114"/>
      <c r="CC48" s="114"/>
      <c r="CD48" s="114"/>
      <c r="CE48" s="114"/>
      <c r="CF48" s="114"/>
      <c r="CG48" s="114"/>
      <c r="CH48" s="114"/>
      <c r="CI48" s="114"/>
      <c r="CJ48" s="114"/>
      <c r="CK48" s="114"/>
      <c r="CL48" s="114"/>
      <c r="CM48" s="24"/>
      <c r="CN48" s="24"/>
      <c r="CO48" s="24"/>
      <c r="CP48" s="20"/>
      <c r="CQ48" s="20"/>
      <c r="CR48" s="20"/>
      <c r="CS48" s="20"/>
      <c r="CT48" s="20"/>
      <c r="CU48" s="20"/>
      <c r="CV48" s="20"/>
      <c r="CW48" s="20"/>
      <c r="CX48" s="20"/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20"/>
      <c r="DQ48" s="20"/>
      <c r="DR48" s="20"/>
      <c r="DS48" s="40"/>
      <c r="DT48" s="40"/>
      <c r="DU48" s="40"/>
    </row>
    <row r="49" spans="1:125" ht="8.25" customHeight="1" x14ac:dyDescent="0.2">
      <c r="A49" s="20"/>
      <c r="B49" s="125" t="s">
        <v>61</v>
      </c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21"/>
      <c r="BK49" s="20"/>
      <c r="BL49" s="127" t="s">
        <v>22</v>
      </c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E49" s="127"/>
      <c r="CF49" s="127"/>
      <c r="CG49" s="127"/>
      <c r="CH49" s="127"/>
      <c r="CI49" s="127"/>
      <c r="CJ49" s="127"/>
      <c r="CK49" s="127"/>
      <c r="CL49" s="20"/>
      <c r="CM49" s="20"/>
      <c r="CN49" s="20"/>
      <c r="CO49" s="20"/>
      <c r="CP49" s="20"/>
      <c r="CQ49" s="20"/>
      <c r="CR49" s="20"/>
      <c r="CS49" s="20"/>
      <c r="CT49" s="20"/>
      <c r="CU49" s="20"/>
      <c r="CV49" s="20"/>
      <c r="CW49" s="20"/>
      <c r="CX49" s="20"/>
      <c r="CY49" s="20"/>
      <c r="CZ49" s="20"/>
      <c r="DA49" s="20"/>
      <c r="DB49" s="20"/>
      <c r="DC49" s="20"/>
      <c r="DD49" s="20"/>
      <c r="DE49" s="20"/>
      <c r="DF49" s="20"/>
      <c r="DG49" s="20"/>
      <c r="DH49" s="20"/>
      <c r="DI49" s="20"/>
      <c r="DJ49" s="20"/>
      <c r="DK49" s="20"/>
      <c r="DL49" s="20"/>
      <c r="DM49" s="20"/>
      <c r="DN49" s="20"/>
      <c r="DO49" s="20"/>
      <c r="DP49" s="20"/>
      <c r="DQ49" s="20"/>
      <c r="DR49" s="20"/>
      <c r="DS49" s="40"/>
      <c r="DT49" s="40"/>
      <c r="DU49" s="40"/>
    </row>
    <row r="50" spans="1:125" ht="9.75" customHeight="1" x14ac:dyDescent="0.2">
      <c r="A50" s="20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126"/>
      <c r="BC50" s="126"/>
      <c r="BD50" s="126"/>
      <c r="BE50" s="126"/>
      <c r="BF50" s="126"/>
      <c r="BG50" s="126"/>
      <c r="BH50" s="126"/>
      <c r="BI50" s="126"/>
      <c r="BJ50" s="21"/>
      <c r="BK50" s="20"/>
      <c r="BL50" s="127"/>
      <c r="BM50" s="127"/>
      <c r="BN50" s="127"/>
      <c r="BO50" s="127"/>
      <c r="BP50" s="127"/>
      <c r="BQ50" s="127"/>
      <c r="BR50" s="127"/>
      <c r="BS50" s="127"/>
      <c r="BT50" s="127"/>
      <c r="BU50" s="127"/>
      <c r="BV50" s="127"/>
      <c r="BW50" s="127"/>
      <c r="BX50" s="127"/>
      <c r="BY50" s="127"/>
      <c r="BZ50" s="127"/>
      <c r="CA50" s="127"/>
      <c r="CB50" s="127"/>
      <c r="CC50" s="127"/>
      <c r="CD50" s="127"/>
      <c r="CE50" s="127"/>
      <c r="CF50" s="127"/>
      <c r="CG50" s="127"/>
      <c r="CH50" s="127"/>
      <c r="CI50" s="127"/>
      <c r="CJ50" s="127"/>
      <c r="CK50" s="127"/>
      <c r="CL50" s="20"/>
      <c r="CM50" s="20"/>
      <c r="CN50" s="95"/>
      <c r="CO50" s="96"/>
      <c r="CP50" s="97"/>
      <c r="CQ50" s="95"/>
      <c r="CR50" s="96"/>
      <c r="CS50" s="97"/>
      <c r="CT50" s="103" t="s">
        <v>6</v>
      </c>
      <c r="CU50" s="104"/>
      <c r="CV50" s="104"/>
      <c r="CW50" s="95"/>
      <c r="CX50" s="96"/>
      <c r="CY50" s="97"/>
      <c r="CZ50" s="95"/>
      <c r="DA50" s="96"/>
      <c r="DB50" s="97"/>
      <c r="DC50" s="103" t="s">
        <v>6</v>
      </c>
      <c r="DD50" s="104"/>
      <c r="DE50" s="121"/>
      <c r="DF50" s="95"/>
      <c r="DG50" s="96"/>
      <c r="DH50" s="97"/>
      <c r="DI50" s="95"/>
      <c r="DJ50" s="96"/>
      <c r="DK50" s="97"/>
      <c r="DL50" s="95"/>
      <c r="DM50" s="96"/>
      <c r="DN50" s="97"/>
      <c r="DO50" s="95"/>
      <c r="DP50" s="96"/>
      <c r="DQ50" s="97"/>
      <c r="DR50" s="20"/>
      <c r="DS50" s="40"/>
      <c r="DT50" s="40"/>
      <c r="DU50" s="40"/>
    </row>
    <row r="51" spans="1:125" ht="7.5" customHeight="1" x14ac:dyDescent="0.2">
      <c r="A51" s="20"/>
      <c r="B51" s="95"/>
      <c r="C51" s="96"/>
      <c r="D51" s="97"/>
      <c r="E51" s="95"/>
      <c r="F51" s="96"/>
      <c r="G51" s="97"/>
      <c r="H51" s="95"/>
      <c r="I51" s="96"/>
      <c r="J51" s="97"/>
      <c r="K51" s="95"/>
      <c r="L51" s="96"/>
      <c r="M51" s="97"/>
      <c r="N51" s="95"/>
      <c r="O51" s="96"/>
      <c r="P51" s="97"/>
      <c r="Q51" s="95"/>
      <c r="R51" s="96"/>
      <c r="S51" s="97"/>
      <c r="T51" s="95"/>
      <c r="U51" s="96"/>
      <c r="V51" s="97"/>
      <c r="W51" s="95"/>
      <c r="X51" s="96"/>
      <c r="Y51" s="97"/>
      <c r="Z51" s="95"/>
      <c r="AA51" s="96"/>
      <c r="AB51" s="97"/>
      <c r="AC51" s="95"/>
      <c r="AD51" s="96"/>
      <c r="AE51" s="97"/>
      <c r="AF51" s="95"/>
      <c r="AG51" s="96"/>
      <c r="AH51" s="97"/>
      <c r="AI51" s="95"/>
      <c r="AJ51" s="96"/>
      <c r="AK51" s="97"/>
      <c r="AL51" s="95"/>
      <c r="AM51" s="96"/>
      <c r="AN51" s="97"/>
      <c r="AO51" s="95"/>
      <c r="AP51" s="96"/>
      <c r="AQ51" s="97"/>
      <c r="AR51" s="95"/>
      <c r="AS51" s="96"/>
      <c r="AT51" s="97"/>
      <c r="AU51" s="95"/>
      <c r="AV51" s="96"/>
      <c r="AW51" s="97"/>
      <c r="AX51" s="95"/>
      <c r="AY51" s="96"/>
      <c r="AZ51" s="97"/>
      <c r="BA51" s="95"/>
      <c r="BB51" s="96"/>
      <c r="BC51" s="97"/>
      <c r="BD51" s="95"/>
      <c r="BE51" s="96"/>
      <c r="BF51" s="97"/>
      <c r="BG51" s="95"/>
      <c r="BH51" s="96"/>
      <c r="BI51" s="97"/>
      <c r="BJ51" s="21"/>
      <c r="BK51" s="20"/>
      <c r="BL51" s="127"/>
      <c r="BM51" s="127"/>
      <c r="BN51" s="127"/>
      <c r="BO51" s="127"/>
      <c r="BP51" s="127"/>
      <c r="BQ51" s="127"/>
      <c r="BR51" s="127"/>
      <c r="BS51" s="127"/>
      <c r="BT51" s="127"/>
      <c r="BU51" s="127"/>
      <c r="BV51" s="127"/>
      <c r="BW51" s="127"/>
      <c r="BX51" s="127"/>
      <c r="BY51" s="127"/>
      <c r="BZ51" s="127"/>
      <c r="CA51" s="127"/>
      <c r="CB51" s="127"/>
      <c r="CC51" s="127"/>
      <c r="CD51" s="127"/>
      <c r="CE51" s="127"/>
      <c r="CF51" s="127"/>
      <c r="CG51" s="127"/>
      <c r="CH51" s="127"/>
      <c r="CI51" s="127"/>
      <c r="CJ51" s="127"/>
      <c r="CK51" s="127"/>
      <c r="CL51" s="20"/>
      <c r="CM51" s="20"/>
      <c r="CN51" s="98"/>
      <c r="CO51" s="99"/>
      <c r="CP51" s="100"/>
      <c r="CQ51" s="98"/>
      <c r="CR51" s="99"/>
      <c r="CS51" s="100"/>
      <c r="CT51" s="103"/>
      <c r="CU51" s="104"/>
      <c r="CV51" s="104"/>
      <c r="CW51" s="98"/>
      <c r="CX51" s="99"/>
      <c r="CY51" s="100"/>
      <c r="CZ51" s="98"/>
      <c r="DA51" s="99"/>
      <c r="DB51" s="100"/>
      <c r="DC51" s="103"/>
      <c r="DD51" s="104"/>
      <c r="DE51" s="121"/>
      <c r="DF51" s="98"/>
      <c r="DG51" s="99"/>
      <c r="DH51" s="100"/>
      <c r="DI51" s="98"/>
      <c r="DJ51" s="99"/>
      <c r="DK51" s="100"/>
      <c r="DL51" s="98"/>
      <c r="DM51" s="99"/>
      <c r="DN51" s="100"/>
      <c r="DO51" s="98"/>
      <c r="DP51" s="99"/>
      <c r="DQ51" s="100"/>
      <c r="DR51" s="20"/>
      <c r="DS51" s="40"/>
      <c r="DT51" s="40"/>
      <c r="DU51" s="40"/>
    </row>
    <row r="52" spans="1:125" ht="10.5" customHeight="1" x14ac:dyDescent="0.2">
      <c r="A52" s="20"/>
      <c r="B52" s="98"/>
      <c r="C52" s="99"/>
      <c r="D52" s="100"/>
      <c r="E52" s="98"/>
      <c r="F52" s="99"/>
      <c r="G52" s="100"/>
      <c r="H52" s="98"/>
      <c r="I52" s="99"/>
      <c r="J52" s="100"/>
      <c r="K52" s="98"/>
      <c r="L52" s="99"/>
      <c r="M52" s="100"/>
      <c r="N52" s="98"/>
      <c r="O52" s="99"/>
      <c r="P52" s="100"/>
      <c r="Q52" s="98"/>
      <c r="R52" s="99"/>
      <c r="S52" s="100"/>
      <c r="T52" s="98"/>
      <c r="U52" s="99"/>
      <c r="V52" s="100"/>
      <c r="W52" s="98"/>
      <c r="X52" s="99"/>
      <c r="Y52" s="100"/>
      <c r="Z52" s="98"/>
      <c r="AA52" s="99"/>
      <c r="AB52" s="100"/>
      <c r="AC52" s="98"/>
      <c r="AD52" s="99"/>
      <c r="AE52" s="100"/>
      <c r="AF52" s="98"/>
      <c r="AG52" s="99"/>
      <c r="AH52" s="100"/>
      <c r="AI52" s="98"/>
      <c r="AJ52" s="99"/>
      <c r="AK52" s="100"/>
      <c r="AL52" s="98"/>
      <c r="AM52" s="99"/>
      <c r="AN52" s="100"/>
      <c r="AO52" s="98"/>
      <c r="AP52" s="99"/>
      <c r="AQ52" s="100"/>
      <c r="AR52" s="98"/>
      <c r="AS52" s="99"/>
      <c r="AT52" s="100"/>
      <c r="AU52" s="98"/>
      <c r="AV52" s="99"/>
      <c r="AW52" s="100"/>
      <c r="AX52" s="98"/>
      <c r="AY52" s="99"/>
      <c r="AZ52" s="100"/>
      <c r="BA52" s="98"/>
      <c r="BB52" s="99"/>
      <c r="BC52" s="100"/>
      <c r="BD52" s="98"/>
      <c r="BE52" s="99"/>
      <c r="BF52" s="100"/>
      <c r="BG52" s="98"/>
      <c r="BH52" s="99"/>
      <c r="BI52" s="100"/>
      <c r="BJ52" s="21"/>
      <c r="BK52" s="132" t="s">
        <v>23</v>
      </c>
      <c r="BL52" s="133"/>
      <c r="BM52" s="133"/>
      <c r="BN52" s="133"/>
      <c r="BO52" s="133"/>
      <c r="BP52" s="133"/>
      <c r="BQ52" s="133"/>
      <c r="BR52" s="133"/>
      <c r="BS52" s="133"/>
      <c r="BT52" s="133"/>
      <c r="BU52" s="133"/>
      <c r="BV52" s="133"/>
      <c r="BW52" s="133"/>
      <c r="BX52" s="133"/>
      <c r="BY52" s="133"/>
      <c r="BZ52" s="133"/>
      <c r="CA52" s="133"/>
      <c r="CB52" s="133"/>
      <c r="CC52" s="133"/>
      <c r="CD52" s="25"/>
      <c r="CE52" s="25"/>
      <c r="CF52" s="25"/>
      <c r="CG52" s="25"/>
      <c r="CH52" s="25"/>
      <c r="CI52" s="25"/>
      <c r="CJ52" s="25"/>
      <c r="CK52" s="25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</row>
    <row r="53" spans="1:125" ht="3" customHeight="1" x14ac:dyDescent="0.2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1"/>
      <c r="BK53" s="132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20"/>
      <c r="CE53" s="95"/>
      <c r="CF53" s="96"/>
      <c r="CG53" s="97"/>
      <c r="CH53" s="95"/>
      <c r="CI53" s="96"/>
      <c r="CJ53" s="97"/>
      <c r="CK53" s="95"/>
      <c r="CL53" s="96"/>
      <c r="CM53" s="97"/>
      <c r="CN53" s="95"/>
      <c r="CO53" s="96"/>
      <c r="CP53" s="97"/>
      <c r="CQ53" s="95"/>
      <c r="CR53" s="96"/>
      <c r="CS53" s="97"/>
      <c r="CT53" s="95"/>
      <c r="CU53" s="96"/>
      <c r="CV53" s="97"/>
      <c r="CW53" s="95"/>
      <c r="CX53" s="96"/>
      <c r="CY53" s="97"/>
      <c r="CZ53" s="95"/>
      <c r="DA53" s="96"/>
      <c r="DB53" s="97"/>
      <c r="DC53" s="95"/>
      <c r="DD53" s="96"/>
      <c r="DE53" s="97"/>
      <c r="DF53" s="95"/>
      <c r="DG53" s="96"/>
      <c r="DH53" s="97"/>
      <c r="DI53" s="95"/>
      <c r="DJ53" s="96"/>
      <c r="DK53" s="97"/>
      <c r="DL53" s="95"/>
      <c r="DM53" s="96"/>
      <c r="DN53" s="97"/>
      <c r="DO53" s="95"/>
      <c r="DP53" s="96"/>
      <c r="DQ53" s="97"/>
      <c r="DR53" s="20"/>
      <c r="DS53" s="40"/>
      <c r="DT53" s="40"/>
      <c r="DU53" s="40"/>
    </row>
    <row r="54" spans="1:125" ht="15" customHeight="1" x14ac:dyDescent="0.2">
      <c r="A54" s="20"/>
      <c r="B54" s="95"/>
      <c r="C54" s="96"/>
      <c r="D54" s="97"/>
      <c r="E54" s="95"/>
      <c r="F54" s="96"/>
      <c r="G54" s="97"/>
      <c r="H54" s="95"/>
      <c r="I54" s="96"/>
      <c r="J54" s="97"/>
      <c r="K54" s="95"/>
      <c r="L54" s="96"/>
      <c r="M54" s="97"/>
      <c r="N54" s="95"/>
      <c r="O54" s="96"/>
      <c r="P54" s="97"/>
      <c r="Q54" s="95"/>
      <c r="R54" s="96"/>
      <c r="S54" s="97"/>
      <c r="T54" s="95"/>
      <c r="U54" s="96"/>
      <c r="V54" s="97"/>
      <c r="W54" s="95"/>
      <c r="X54" s="96"/>
      <c r="Y54" s="97"/>
      <c r="Z54" s="95"/>
      <c r="AA54" s="96"/>
      <c r="AB54" s="97"/>
      <c r="AC54" s="95"/>
      <c r="AD54" s="96"/>
      <c r="AE54" s="97"/>
      <c r="AF54" s="95"/>
      <c r="AG54" s="96"/>
      <c r="AH54" s="97"/>
      <c r="AI54" s="95"/>
      <c r="AJ54" s="96"/>
      <c r="AK54" s="97"/>
      <c r="AL54" s="95"/>
      <c r="AM54" s="96"/>
      <c r="AN54" s="97"/>
      <c r="AO54" s="95"/>
      <c r="AP54" s="96"/>
      <c r="AQ54" s="97"/>
      <c r="AR54" s="95"/>
      <c r="AS54" s="96"/>
      <c r="AT54" s="97"/>
      <c r="AU54" s="95"/>
      <c r="AV54" s="96"/>
      <c r="AW54" s="97"/>
      <c r="AX54" s="95"/>
      <c r="AY54" s="96"/>
      <c r="AZ54" s="97"/>
      <c r="BA54" s="95"/>
      <c r="BB54" s="96"/>
      <c r="BC54" s="97"/>
      <c r="BD54" s="95"/>
      <c r="BE54" s="96"/>
      <c r="BF54" s="97"/>
      <c r="BG54" s="95"/>
      <c r="BH54" s="96"/>
      <c r="BI54" s="97"/>
      <c r="BJ54" s="21"/>
      <c r="BK54" s="132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20"/>
      <c r="CE54" s="98"/>
      <c r="CF54" s="99"/>
      <c r="CG54" s="100"/>
      <c r="CH54" s="98"/>
      <c r="CI54" s="99"/>
      <c r="CJ54" s="100"/>
      <c r="CK54" s="98"/>
      <c r="CL54" s="99"/>
      <c r="CM54" s="100"/>
      <c r="CN54" s="98"/>
      <c r="CO54" s="99"/>
      <c r="CP54" s="100"/>
      <c r="CQ54" s="98"/>
      <c r="CR54" s="99"/>
      <c r="CS54" s="100"/>
      <c r="CT54" s="98"/>
      <c r="CU54" s="99"/>
      <c r="CV54" s="100"/>
      <c r="CW54" s="98"/>
      <c r="CX54" s="99"/>
      <c r="CY54" s="100"/>
      <c r="CZ54" s="98"/>
      <c r="DA54" s="99"/>
      <c r="DB54" s="100"/>
      <c r="DC54" s="98"/>
      <c r="DD54" s="99"/>
      <c r="DE54" s="100"/>
      <c r="DF54" s="98"/>
      <c r="DG54" s="99"/>
      <c r="DH54" s="100"/>
      <c r="DI54" s="98"/>
      <c r="DJ54" s="99"/>
      <c r="DK54" s="100"/>
      <c r="DL54" s="98"/>
      <c r="DM54" s="99"/>
      <c r="DN54" s="100"/>
      <c r="DO54" s="98"/>
      <c r="DP54" s="99"/>
      <c r="DQ54" s="100"/>
      <c r="DR54" s="20"/>
      <c r="DS54" s="40"/>
      <c r="DT54" s="40"/>
      <c r="DU54" s="40"/>
    </row>
    <row r="55" spans="1:125" ht="3" customHeight="1" x14ac:dyDescent="0.2">
      <c r="A55" s="20"/>
      <c r="B55" s="98"/>
      <c r="C55" s="99"/>
      <c r="D55" s="100"/>
      <c r="E55" s="98"/>
      <c r="F55" s="99"/>
      <c r="G55" s="100"/>
      <c r="H55" s="98"/>
      <c r="I55" s="99"/>
      <c r="J55" s="100"/>
      <c r="K55" s="98"/>
      <c r="L55" s="99"/>
      <c r="M55" s="100"/>
      <c r="N55" s="98"/>
      <c r="O55" s="99"/>
      <c r="P55" s="100"/>
      <c r="Q55" s="98"/>
      <c r="R55" s="99"/>
      <c r="S55" s="100"/>
      <c r="T55" s="98"/>
      <c r="U55" s="99"/>
      <c r="V55" s="100"/>
      <c r="W55" s="98"/>
      <c r="X55" s="99"/>
      <c r="Y55" s="100"/>
      <c r="Z55" s="98"/>
      <c r="AA55" s="99"/>
      <c r="AB55" s="100"/>
      <c r="AC55" s="98"/>
      <c r="AD55" s="99"/>
      <c r="AE55" s="100"/>
      <c r="AF55" s="98"/>
      <c r="AG55" s="99"/>
      <c r="AH55" s="100"/>
      <c r="AI55" s="98"/>
      <c r="AJ55" s="99"/>
      <c r="AK55" s="100"/>
      <c r="AL55" s="98"/>
      <c r="AM55" s="99"/>
      <c r="AN55" s="100"/>
      <c r="AO55" s="98"/>
      <c r="AP55" s="99"/>
      <c r="AQ55" s="100"/>
      <c r="AR55" s="98"/>
      <c r="AS55" s="99"/>
      <c r="AT55" s="100"/>
      <c r="AU55" s="98"/>
      <c r="AV55" s="99"/>
      <c r="AW55" s="100"/>
      <c r="AX55" s="98"/>
      <c r="AY55" s="99"/>
      <c r="AZ55" s="100"/>
      <c r="BA55" s="98"/>
      <c r="BB55" s="99"/>
      <c r="BC55" s="100"/>
      <c r="BD55" s="98"/>
      <c r="BE55" s="99"/>
      <c r="BF55" s="100"/>
      <c r="BG55" s="98"/>
      <c r="BH55" s="99"/>
      <c r="BI55" s="100"/>
      <c r="BJ55" s="21"/>
      <c r="BK55" s="132"/>
      <c r="BL55" s="133"/>
      <c r="BM55" s="133"/>
      <c r="BN55" s="133"/>
      <c r="BO55" s="133"/>
      <c r="BP55" s="133"/>
      <c r="BQ55" s="133"/>
      <c r="BR55" s="133"/>
      <c r="BS55" s="133"/>
      <c r="BT55" s="133"/>
      <c r="BU55" s="133"/>
      <c r="BV55" s="133"/>
      <c r="BW55" s="133"/>
      <c r="BX55" s="133"/>
      <c r="BY55" s="133"/>
      <c r="BZ55" s="133"/>
      <c r="CA55" s="133"/>
      <c r="CB55" s="133"/>
      <c r="CC55" s="133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</row>
    <row r="56" spans="1:125" ht="3" customHeight="1" x14ac:dyDescent="0.2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1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40"/>
      <c r="DT56" s="40"/>
      <c r="DU56" s="40"/>
    </row>
    <row r="57" spans="1:125" ht="17.25" customHeight="1" x14ac:dyDescent="0.2">
      <c r="A57" s="20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86"/>
      <c r="W57" s="86"/>
      <c r="X57" s="86"/>
      <c r="Y57" s="86"/>
      <c r="Z57" s="86"/>
      <c r="AA57" s="86"/>
      <c r="AB57" s="86"/>
      <c r="AC57" s="86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  <c r="BD57" s="86"/>
      <c r="BE57" s="86"/>
      <c r="BF57" s="86"/>
      <c r="BG57" s="86"/>
      <c r="BH57" s="86"/>
      <c r="BI57" s="86"/>
      <c r="BJ57" s="21"/>
      <c r="BK57" s="20"/>
      <c r="BL57" s="20"/>
      <c r="BM57" s="20"/>
      <c r="BN57" s="20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81"/>
      <c r="CF57" s="81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81"/>
      <c r="CT57" s="81"/>
      <c r="CU57" s="81"/>
      <c r="CV57" s="81"/>
      <c r="CW57" s="81"/>
      <c r="CX57" s="81"/>
      <c r="CY57" s="81"/>
      <c r="CZ57" s="81"/>
      <c r="DA57" s="81"/>
      <c r="DB57" s="81"/>
      <c r="DC57" s="81"/>
      <c r="DD57" s="81"/>
      <c r="DE57" s="81"/>
      <c r="DF57" s="81"/>
      <c r="DG57" s="81"/>
      <c r="DH57" s="81"/>
      <c r="DI57" s="81"/>
      <c r="DJ57" s="81"/>
      <c r="DK57" s="20"/>
      <c r="DL57" s="20"/>
      <c r="DM57" s="20"/>
      <c r="DN57" s="20"/>
      <c r="DO57" s="20"/>
      <c r="DP57" s="20"/>
      <c r="DQ57" s="20"/>
      <c r="DR57" s="20"/>
      <c r="DS57" s="40"/>
      <c r="DT57" s="40"/>
      <c r="DU57" s="40"/>
    </row>
    <row r="58" spans="1:125" ht="3" customHeight="1" x14ac:dyDescent="0.2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1"/>
      <c r="BK58" s="20"/>
      <c r="BL58" s="20"/>
      <c r="BM58" s="20"/>
      <c r="BN58" s="20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81"/>
      <c r="CF58" s="81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81"/>
      <c r="CT58" s="81"/>
      <c r="CU58" s="81"/>
      <c r="CV58" s="81"/>
      <c r="CW58" s="81"/>
      <c r="CX58" s="81"/>
      <c r="CY58" s="81"/>
      <c r="CZ58" s="81"/>
      <c r="DA58" s="81"/>
      <c r="DB58" s="81"/>
      <c r="DC58" s="81"/>
      <c r="DD58" s="81"/>
      <c r="DE58" s="81"/>
      <c r="DF58" s="81"/>
      <c r="DG58" s="81"/>
      <c r="DH58" s="81"/>
      <c r="DI58" s="81"/>
      <c r="DJ58" s="81"/>
      <c r="DK58" s="20"/>
      <c r="DL58" s="20"/>
      <c r="DM58" s="20"/>
      <c r="DN58" s="20"/>
      <c r="DO58" s="20"/>
      <c r="DP58" s="20"/>
      <c r="DQ58" s="20"/>
      <c r="DR58" s="20"/>
      <c r="DS58" s="40"/>
      <c r="DT58" s="40"/>
      <c r="DU58" s="40"/>
    </row>
    <row r="59" spans="1:125" ht="5.25" customHeight="1" x14ac:dyDescent="0.2">
      <c r="A59" s="20"/>
      <c r="B59" s="95"/>
      <c r="C59" s="96"/>
      <c r="D59" s="97"/>
      <c r="E59" s="95"/>
      <c r="F59" s="96"/>
      <c r="G59" s="97"/>
      <c r="H59" s="95"/>
      <c r="I59" s="96"/>
      <c r="J59" s="97"/>
      <c r="K59" s="95"/>
      <c r="L59" s="96"/>
      <c r="M59" s="97"/>
      <c r="N59" s="95"/>
      <c r="O59" s="96"/>
      <c r="P59" s="97"/>
      <c r="Q59" s="95"/>
      <c r="R59" s="96"/>
      <c r="S59" s="97"/>
      <c r="T59" s="95"/>
      <c r="U59" s="96"/>
      <c r="V59" s="97"/>
      <c r="W59" s="95"/>
      <c r="X59" s="96"/>
      <c r="Y59" s="97"/>
      <c r="Z59" s="95"/>
      <c r="AA59" s="96"/>
      <c r="AB59" s="97"/>
      <c r="AC59" s="95"/>
      <c r="AD59" s="96"/>
      <c r="AE59" s="97"/>
      <c r="AF59" s="95"/>
      <c r="AG59" s="96"/>
      <c r="AH59" s="97"/>
      <c r="AI59" s="95"/>
      <c r="AJ59" s="96"/>
      <c r="AK59" s="97"/>
      <c r="AL59" s="95"/>
      <c r="AM59" s="96"/>
      <c r="AN59" s="97"/>
      <c r="AO59" s="95"/>
      <c r="AP59" s="96"/>
      <c r="AQ59" s="97"/>
      <c r="AR59" s="95"/>
      <c r="AS59" s="96"/>
      <c r="AT59" s="97"/>
      <c r="AU59" s="95"/>
      <c r="AV59" s="96"/>
      <c r="AW59" s="97"/>
      <c r="AX59" s="95"/>
      <c r="AY59" s="96"/>
      <c r="AZ59" s="97"/>
      <c r="BA59" s="95"/>
      <c r="BB59" s="96"/>
      <c r="BC59" s="97"/>
      <c r="BD59" s="95"/>
      <c r="BE59" s="96"/>
      <c r="BF59" s="97"/>
      <c r="BG59" s="95"/>
      <c r="BH59" s="96"/>
      <c r="BI59" s="97"/>
      <c r="BJ59" s="21"/>
      <c r="BK59" s="20"/>
      <c r="BL59" s="20"/>
      <c r="BM59" s="20"/>
      <c r="BN59" s="20"/>
      <c r="BO59" s="82"/>
      <c r="BP59" s="82"/>
      <c r="BQ59" s="82"/>
      <c r="BR59" s="82"/>
      <c r="BS59" s="82"/>
      <c r="BT59" s="82"/>
      <c r="BU59" s="82"/>
      <c r="BV59" s="82"/>
      <c r="BW59" s="82"/>
      <c r="BX59" s="82"/>
      <c r="BY59" s="82"/>
      <c r="BZ59" s="82"/>
      <c r="CA59" s="82"/>
      <c r="CB59" s="82"/>
      <c r="CC59" s="82"/>
      <c r="CD59" s="82"/>
      <c r="CE59" s="82"/>
      <c r="CF59" s="82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82"/>
      <c r="CT59" s="82"/>
      <c r="CU59" s="82"/>
      <c r="CV59" s="82"/>
      <c r="CW59" s="82"/>
      <c r="CX59" s="82"/>
      <c r="CY59" s="82"/>
      <c r="CZ59" s="82"/>
      <c r="DA59" s="82"/>
      <c r="DB59" s="82"/>
      <c r="DC59" s="82"/>
      <c r="DD59" s="82"/>
      <c r="DE59" s="82"/>
      <c r="DF59" s="82"/>
      <c r="DG59" s="82"/>
      <c r="DH59" s="82"/>
      <c r="DI59" s="82"/>
      <c r="DJ59" s="82"/>
      <c r="DK59" s="20"/>
      <c r="DL59" s="20"/>
      <c r="DM59" s="20"/>
      <c r="DN59" s="20"/>
      <c r="DO59" s="20"/>
      <c r="DP59" s="20"/>
      <c r="DQ59" s="20"/>
      <c r="DR59" s="20"/>
      <c r="DS59" s="40"/>
      <c r="DT59" s="40"/>
      <c r="DU59" s="40"/>
    </row>
    <row r="60" spans="1:125" ht="12" customHeight="1" x14ac:dyDescent="0.2">
      <c r="A60" s="20"/>
      <c r="B60" s="98"/>
      <c r="C60" s="99"/>
      <c r="D60" s="100"/>
      <c r="E60" s="98"/>
      <c r="F60" s="99"/>
      <c r="G60" s="100"/>
      <c r="H60" s="98"/>
      <c r="I60" s="99"/>
      <c r="J60" s="100"/>
      <c r="K60" s="98"/>
      <c r="L60" s="99"/>
      <c r="M60" s="100"/>
      <c r="N60" s="98"/>
      <c r="O60" s="99"/>
      <c r="P60" s="100"/>
      <c r="Q60" s="98"/>
      <c r="R60" s="99"/>
      <c r="S60" s="100"/>
      <c r="T60" s="98"/>
      <c r="U60" s="99"/>
      <c r="V60" s="100"/>
      <c r="W60" s="98"/>
      <c r="X60" s="99"/>
      <c r="Y60" s="100"/>
      <c r="Z60" s="98"/>
      <c r="AA60" s="99"/>
      <c r="AB60" s="100"/>
      <c r="AC60" s="98"/>
      <c r="AD60" s="99"/>
      <c r="AE60" s="100"/>
      <c r="AF60" s="98"/>
      <c r="AG60" s="99"/>
      <c r="AH60" s="100"/>
      <c r="AI60" s="98"/>
      <c r="AJ60" s="99"/>
      <c r="AK60" s="100"/>
      <c r="AL60" s="98"/>
      <c r="AM60" s="99"/>
      <c r="AN60" s="100"/>
      <c r="AO60" s="98"/>
      <c r="AP60" s="99"/>
      <c r="AQ60" s="100"/>
      <c r="AR60" s="98"/>
      <c r="AS60" s="99"/>
      <c r="AT60" s="100"/>
      <c r="AU60" s="98"/>
      <c r="AV60" s="99"/>
      <c r="AW60" s="100"/>
      <c r="AX60" s="98"/>
      <c r="AY60" s="99"/>
      <c r="AZ60" s="100"/>
      <c r="BA60" s="98"/>
      <c r="BB60" s="99"/>
      <c r="BC60" s="100"/>
      <c r="BD60" s="98"/>
      <c r="BE60" s="99"/>
      <c r="BF60" s="100"/>
      <c r="BG60" s="98"/>
      <c r="BH60" s="99"/>
      <c r="BI60" s="100"/>
      <c r="BJ60" s="21"/>
      <c r="BK60" s="20"/>
      <c r="BL60" s="20"/>
      <c r="BM60" s="20"/>
      <c r="BN60" s="20"/>
      <c r="BO60" s="83" t="s">
        <v>125</v>
      </c>
      <c r="BP60" s="83"/>
      <c r="BQ60" s="83"/>
      <c r="BR60" s="83"/>
      <c r="BS60" s="83"/>
      <c r="BT60" s="83"/>
      <c r="BU60" s="83"/>
      <c r="BV60" s="83"/>
      <c r="BW60" s="83"/>
      <c r="BX60" s="83"/>
      <c r="BY60" s="83"/>
      <c r="BZ60" s="83"/>
      <c r="CA60" s="83"/>
      <c r="CB60" s="83"/>
      <c r="CC60" s="83"/>
      <c r="CD60" s="83"/>
      <c r="CE60" s="83"/>
      <c r="CF60" s="83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83" t="s">
        <v>25</v>
      </c>
      <c r="CT60" s="83"/>
      <c r="CU60" s="83"/>
      <c r="CV60" s="83"/>
      <c r="CW60" s="83"/>
      <c r="CX60" s="83"/>
      <c r="CY60" s="83"/>
      <c r="CZ60" s="83"/>
      <c r="DA60" s="83"/>
      <c r="DB60" s="83"/>
      <c r="DC60" s="83"/>
      <c r="DD60" s="83"/>
      <c r="DE60" s="83"/>
      <c r="DF60" s="83"/>
      <c r="DG60" s="83"/>
      <c r="DH60" s="83"/>
      <c r="DI60" s="83"/>
      <c r="DJ60" s="83"/>
      <c r="DK60" s="20"/>
      <c r="DL60" s="20"/>
      <c r="DM60" s="20"/>
      <c r="DN60" s="20"/>
      <c r="DO60" s="20"/>
      <c r="DP60" s="20"/>
      <c r="DQ60" s="20"/>
      <c r="DR60" s="20"/>
      <c r="DS60" s="40"/>
      <c r="DT60" s="40"/>
      <c r="DU60" s="40"/>
    </row>
    <row r="61" spans="1:125" ht="3" customHeight="1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1"/>
      <c r="BK61" s="20"/>
      <c r="BL61" s="20"/>
      <c r="BM61" s="20"/>
      <c r="BN61" s="20"/>
      <c r="BO61" s="84"/>
      <c r="BP61" s="84"/>
      <c r="BQ61" s="84"/>
      <c r="BR61" s="84"/>
      <c r="BS61" s="84"/>
      <c r="BT61" s="84"/>
      <c r="BU61" s="84"/>
      <c r="BV61" s="84"/>
      <c r="BW61" s="84"/>
      <c r="BX61" s="84"/>
      <c r="BY61" s="84"/>
      <c r="BZ61" s="84"/>
      <c r="CA61" s="84"/>
      <c r="CB61" s="84"/>
      <c r="CC61" s="84"/>
      <c r="CD61" s="84"/>
      <c r="CE61" s="84"/>
      <c r="CF61" s="84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84"/>
      <c r="CT61" s="84"/>
      <c r="CU61" s="84"/>
      <c r="CV61" s="84"/>
      <c r="CW61" s="84"/>
      <c r="CX61" s="84"/>
      <c r="CY61" s="84"/>
      <c r="CZ61" s="84"/>
      <c r="DA61" s="84"/>
      <c r="DB61" s="84"/>
      <c r="DC61" s="84"/>
      <c r="DD61" s="84"/>
      <c r="DE61" s="84"/>
      <c r="DF61" s="84"/>
      <c r="DG61" s="84"/>
      <c r="DH61" s="84"/>
      <c r="DI61" s="84"/>
      <c r="DJ61" s="84"/>
      <c r="DK61" s="20"/>
      <c r="DL61" s="20"/>
      <c r="DM61" s="20"/>
      <c r="DN61" s="20"/>
      <c r="DO61" s="20"/>
      <c r="DP61" s="20"/>
      <c r="DQ61" s="20"/>
      <c r="DR61" s="20"/>
      <c r="DS61" s="40"/>
      <c r="DT61" s="40"/>
      <c r="DU61" s="40"/>
    </row>
    <row r="62" spans="1:125" ht="17.25" customHeight="1" x14ac:dyDescent="0.2">
      <c r="A62" s="20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86"/>
      <c r="W62" s="86"/>
      <c r="X62" s="86"/>
      <c r="Y62" s="86"/>
      <c r="Z62" s="86"/>
      <c r="AA62" s="86"/>
      <c r="AB62" s="86"/>
      <c r="AC62" s="86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  <c r="AT62" s="86"/>
      <c r="AU62" s="86"/>
      <c r="AV62" s="86"/>
      <c r="AW62" s="86"/>
      <c r="AX62" s="86"/>
      <c r="AY62" s="86"/>
      <c r="AZ62" s="86"/>
      <c r="BA62" s="86"/>
      <c r="BB62" s="86"/>
      <c r="BC62" s="86"/>
      <c r="BD62" s="86"/>
      <c r="BE62" s="86"/>
      <c r="BF62" s="86"/>
      <c r="BG62" s="86"/>
      <c r="BH62" s="86"/>
      <c r="BI62" s="86"/>
      <c r="BJ62" s="21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  <c r="CT62" s="20"/>
      <c r="CU62" s="20"/>
      <c r="CV62" s="20"/>
      <c r="CW62" s="20"/>
      <c r="CX62" s="20"/>
      <c r="CY62" s="20"/>
      <c r="CZ62" s="20"/>
      <c r="DA62" s="20"/>
      <c r="DB62" s="20"/>
      <c r="DC62" s="20"/>
      <c r="DD62" s="20"/>
      <c r="DE62" s="20"/>
      <c r="DF62" s="20"/>
      <c r="DG62" s="20"/>
      <c r="DH62" s="20"/>
      <c r="DI62" s="20"/>
      <c r="DJ62" s="20"/>
      <c r="DK62" s="20"/>
      <c r="DL62" s="20"/>
      <c r="DM62" s="20"/>
      <c r="DN62" s="20"/>
      <c r="DO62" s="20"/>
      <c r="DP62" s="20"/>
      <c r="DQ62" s="20"/>
      <c r="DR62" s="20"/>
      <c r="DS62" s="40"/>
      <c r="DT62" s="40"/>
      <c r="DU62" s="40"/>
    </row>
    <row r="63" spans="1:125" ht="3" customHeight="1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1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  <c r="CT63" s="20"/>
      <c r="CU63" s="20"/>
      <c r="CV63" s="20"/>
      <c r="CW63" s="20"/>
      <c r="CX63" s="20"/>
      <c r="CY63" s="20"/>
      <c r="CZ63" s="20"/>
      <c r="DA63" s="20"/>
      <c r="DB63" s="20"/>
      <c r="DC63" s="20"/>
      <c r="DD63" s="20"/>
      <c r="DE63" s="20"/>
      <c r="DF63" s="20"/>
      <c r="DG63" s="20"/>
      <c r="DH63" s="20"/>
      <c r="DI63" s="20"/>
      <c r="DJ63" s="20"/>
      <c r="DK63" s="20"/>
      <c r="DL63" s="20"/>
      <c r="DM63" s="20"/>
      <c r="DN63" s="20"/>
      <c r="DO63" s="20"/>
      <c r="DP63" s="20"/>
      <c r="DQ63" s="20"/>
      <c r="DR63" s="20"/>
      <c r="DS63" s="40"/>
      <c r="DT63" s="40"/>
      <c r="DU63" s="40"/>
    </row>
    <row r="64" spans="1:125" ht="17.25" customHeight="1" x14ac:dyDescent="0.2">
      <c r="A64" s="20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6"/>
      <c r="W64" s="86"/>
      <c r="X64" s="86"/>
      <c r="Y64" s="86"/>
      <c r="Z64" s="86"/>
      <c r="AA64" s="86"/>
      <c r="AB64" s="86"/>
      <c r="AC64" s="86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6"/>
      <c r="BG64" s="86"/>
      <c r="BH64" s="86"/>
      <c r="BI64" s="86"/>
      <c r="BJ64" s="21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  <c r="CT64" s="20"/>
      <c r="CU64" s="20"/>
      <c r="CV64" s="20"/>
      <c r="CW64" s="20"/>
      <c r="CX64" s="20"/>
      <c r="CY64" s="20"/>
      <c r="CZ64" s="20"/>
      <c r="DA64" s="20"/>
      <c r="DB64" s="20"/>
      <c r="DC64" s="20"/>
      <c r="DD64" s="20"/>
      <c r="DE64" s="20"/>
      <c r="DF64" s="20"/>
      <c r="DG64" s="20"/>
      <c r="DH64" s="20"/>
      <c r="DI64" s="20"/>
      <c r="DJ64" s="20"/>
      <c r="DK64" s="20"/>
      <c r="DL64" s="20"/>
      <c r="DM64" s="20"/>
      <c r="DN64" s="20"/>
      <c r="DO64" s="20"/>
      <c r="DP64" s="20"/>
      <c r="DQ64" s="20"/>
      <c r="DR64" s="20"/>
      <c r="DS64" s="40"/>
      <c r="DT64" s="40"/>
      <c r="DU64" s="40"/>
    </row>
    <row r="65" spans="1:125" ht="3" customHeight="1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1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  <c r="CT65" s="20"/>
      <c r="CU65" s="20"/>
      <c r="CV65" s="20"/>
      <c r="CW65" s="20"/>
      <c r="CX65" s="20"/>
      <c r="CY65" s="20"/>
      <c r="CZ65" s="20"/>
      <c r="DA65" s="20"/>
      <c r="DB65" s="20"/>
      <c r="DC65" s="20"/>
      <c r="DD65" s="20"/>
      <c r="DE65" s="20"/>
      <c r="DF65" s="20"/>
      <c r="DG65" s="20"/>
      <c r="DH65" s="20"/>
      <c r="DI65" s="20"/>
      <c r="DJ65" s="20"/>
      <c r="DK65" s="20"/>
      <c r="DL65" s="20"/>
      <c r="DM65" s="20"/>
      <c r="DN65" s="20"/>
      <c r="DO65" s="20"/>
      <c r="DP65" s="20"/>
      <c r="DQ65" s="20"/>
      <c r="DR65" s="20"/>
      <c r="DS65" s="40"/>
      <c r="DT65" s="40"/>
      <c r="DU65" s="40"/>
    </row>
    <row r="66" spans="1:125" ht="17.25" customHeight="1" x14ac:dyDescent="0.2">
      <c r="A66" s="20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  <c r="X66" s="86"/>
      <c r="Y66" s="86"/>
      <c r="Z66" s="86"/>
      <c r="AA66" s="86"/>
      <c r="AB66" s="86"/>
      <c r="AC66" s="86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AZ66" s="86"/>
      <c r="BA66" s="86"/>
      <c r="BB66" s="86"/>
      <c r="BC66" s="86"/>
      <c r="BD66" s="86"/>
      <c r="BE66" s="86"/>
      <c r="BF66" s="86"/>
      <c r="BG66" s="86"/>
      <c r="BH66" s="86"/>
      <c r="BI66" s="86"/>
      <c r="BJ66" s="21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  <c r="CT66" s="20"/>
      <c r="CU66" s="20"/>
      <c r="CV66" s="20"/>
      <c r="CW66" s="20"/>
      <c r="CX66" s="20"/>
      <c r="CY66" s="20"/>
      <c r="CZ66" s="20"/>
      <c r="DA66" s="20"/>
      <c r="DB66" s="20"/>
      <c r="DC66" s="20"/>
      <c r="DD66" s="20"/>
      <c r="DE66" s="20"/>
      <c r="DF66" s="20"/>
      <c r="DG66" s="20"/>
      <c r="DH66" s="20"/>
      <c r="DI66" s="20"/>
      <c r="DJ66" s="20"/>
      <c r="DK66" s="20"/>
      <c r="DL66" s="20"/>
      <c r="DM66" s="20"/>
      <c r="DN66" s="20"/>
      <c r="DO66" s="20"/>
      <c r="DP66" s="20"/>
      <c r="DQ66" s="20"/>
      <c r="DR66" s="20"/>
      <c r="DS66" s="40"/>
      <c r="DT66" s="40"/>
      <c r="DU66" s="40"/>
    </row>
    <row r="67" spans="1:125" ht="3" customHeight="1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1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  <c r="CT67" s="20"/>
      <c r="CU67" s="20"/>
      <c r="CV67" s="20"/>
      <c r="CW67" s="20"/>
      <c r="CX67" s="20"/>
      <c r="CY67" s="20"/>
      <c r="CZ67" s="20"/>
      <c r="DA67" s="20"/>
      <c r="DB67" s="20"/>
      <c r="DC67" s="20"/>
      <c r="DD67" s="20"/>
      <c r="DE67" s="20"/>
      <c r="DF67" s="20"/>
      <c r="DG67" s="20"/>
      <c r="DH67" s="20"/>
      <c r="DI67" s="20"/>
      <c r="DJ67" s="20"/>
      <c r="DK67" s="20"/>
      <c r="DL67" s="20"/>
      <c r="DM67" s="20"/>
      <c r="DN67" s="20"/>
      <c r="DO67" s="20"/>
      <c r="DP67" s="20"/>
      <c r="DQ67" s="20"/>
      <c r="DR67" s="20"/>
      <c r="DS67" s="40"/>
      <c r="DT67" s="40"/>
      <c r="DU67" s="40"/>
    </row>
    <row r="68" spans="1:125" ht="17.25" customHeight="1" x14ac:dyDescent="0.2">
      <c r="A68" s="20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6"/>
      <c r="W68" s="86"/>
      <c r="X68" s="86"/>
      <c r="Y68" s="86"/>
      <c r="Z68" s="86"/>
      <c r="AA68" s="86"/>
      <c r="AB68" s="86"/>
      <c r="AC68" s="86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  <c r="BD68" s="86"/>
      <c r="BE68" s="86"/>
      <c r="BF68" s="86"/>
      <c r="BG68" s="86"/>
      <c r="BH68" s="86"/>
      <c r="BI68" s="86"/>
      <c r="BJ68" s="21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  <c r="CT68" s="20"/>
      <c r="CU68" s="20"/>
      <c r="CV68" s="20"/>
      <c r="CW68" s="20"/>
      <c r="CX68" s="20"/>
      <c r="CY68" s="20"/>
      <c r="CZ68" s="20"/>
      <c r="DA68" s="20"/>
      <c r="DB68" s="20"/>
      <c r="DC68" s="20"/>
      <c r="DD68" s="20"/>
      <c r="DE68" s="20"/>
      <c r="DF68" s="20"/>
      <c r="DG68" s="20"/>
      <c r="DH68" s="20"/>
      <c r="DI68" s="20"/>
      <c r="DJ68" s="20"/>
      <c r="DK68" s="20"/>
      <c r="DL68" s="20"/>
      <c r="DM68" s="20"/>
      <c r="DN68" s="20"/>
      <c r="DO68" s="20"/>
      <c r="DP68" s="20"/>
      <c r="DQ68" s="20"/>
      <c r="DR68" s="20"/>
      <c r="DS68" s="40"/>
      <c r="DT68" s="40"/>
      <c r="DU68" s="40"/>
    </row>
    <row r="69" spans="1:125" ht="15.75" customHeight="1" x14ac:dyDescent="0.2">
      <c r="A69" s="20"/>
      <c r="B69" s="131" t="s">
        <v>24</v>
      </c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  <c r="BE69" s="131"/>
      <c r="BF69" s="131"/>
      <c r="BG69" s="131"/>
      <c r="BH69" s="131"/>
      <c r="BI69" s="131"/>
      <c r="BJ69" s="21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  <c r="CT69" s="20"/>
      <c r="CU69" s="20"/>
      <c r="CV69" s="20"/>
      <c r="CW69" s="20"/>
      <c r="CX69" s="20"/>
      <c r="CY69" s="20"/>
      <c r="CZ69" s="20"/>
      <c r="DA69" s="20"/>
      <c r="DB69" s="20"/>
      <c r="DC69" s="20"/>
      <c r="DD69" s="20"/>
      <c r="DE69" s="20"/>
      <c r="DF69" s="20"/>
      <c r="DG69" s="20"/>
      <c r="DH69" s="20"/>
      <c r="DI69" s="20"/>
      <c r="DJ69" s="20"/>
      <c r="DK69" s="20"/>
      <c r="DL69" s="20"/>
      <c r="DM69" s="20"/>
      <c r="DN69" s="20"/>
      <c r="DO69" s="20"/>
      <c r="DP69" s="20"/>
      <c r="DQ69" s="20"/>
      <c r="DR69" s="20"/>
      <c r="DS69" s="40"/>
      <c r="DT69" s="40"/>
      <c r="DU69" s="40"/>
    </row>
    <row r="70" spans="1:125" s="2" customFormat="1" ht="6" customHeight="1" x14ac:dyDescent="0.25">
      <c r="A70" s="28"/>
      <c r="B70" s="128" t="s">
        <v>25</v>
      </c>
      <c r="C70" s="128"/>
      <c r="D70" s="128"/>
      <c r="E70" s="128"/>
      <c r="F70" s="128"/>
      <c r="G70" s="128"/>
      <c r="H70" s="128"/>
      <c r="I70" s="128"/>
      <c r="J70" s="81"/>
      <c r="K70" s="81"/>
      <c r="L70" s="81"/>
      <c r="M70" s="81"/>
      <c r="N70" s="81"/>
      <c r="O70" s="81"/>
      <c r="P70" s="81"/>
      <c r="Q70" s="81"/>
      <c r="R70" s="81"/>
      <c r="S70" s="81"/>
      <c r="T70" s="81"/>
      <c r="U70" s="81"/>
      <c r="V70" s="81"/>
      <c r="W70" s="81"/>
      <c r="X70" s="81"/>
      <c r="Y70" s="81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7"/>
      <c r="BK70" s="28"/>
      <c r="BL70" s="28"/>
      <c r="BM70" s="28"/>
      <c r="BN70" s="28"/>
      <c r="BO70" s="28"/>
      <c r="BP70" s="28"/>
      <c r="BQ70" s="28"/>
      <c r="BR70" s="28"/>
      <c r="BS70" s="28"/>
      <c r="BT70" s="28"/>
      <c r="BU70" s="28"/>
      <c r="BV70" s="28"/>
      <c r="BW70" s="28"/>
      <c r="BX70" s="28"/>
      <c r="BY70" s="28"/>
      <c r="BZ70" s="28"/>
      <c r="CA70" s="28"/>
      <c r="CB70" s="28"/>
      <c r="CC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28"/>
      <c r="DS70" s="43"/>
      <c r="DT70" s="43"/>
      <c r="DU70" s="43"/>
    </row>
    <row r="71" spans="1:125" s="2" customFormat="1" ht="12" customHeight="1" x14ac:dyDescent="0.25">
      <c r="A71" s="28"/>
      <c r="B71" s="128"/>
      <c r="C71" s="128"/>
      <c r="D71" s="128"/>
      <c r="E71" s="128"/>
      <c r="F71" s="128"/>
      <c r="G71" s="128"/>
      <c r="H71" s="128"/>
      <c r="I71" s="128"/>
      <c r="J71" s="82"/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129" t="s">
        <v>26</v>
      </c>
      <c r="AA71" s="129"/>
      <c r="AB71" s="129"/>
      <c r="AC71" s="129"/>
      <c r="AD71" s="129"/>
      <c r="AE71" s="130"/>
      <c r="AF71" s="95"/>
      <c r="AG71" s="96"/>
      <c r="AH71" s="97"/>
      <c r="AI71" s="95"/>
      <c r="AJ71" s="96"/>
      <c r="AK71" s="97"/>
      <c r="AL71" s="103" t="s">
        <v>6</v>
      </c>
      <c r="AM71" s="104"/>
      <c r="AN71" s="121"/>
      <c r="AO71" s="95"/>
      <c r="AP71" s="96"/>
      <c r="AQ71" s="97"/>
      <c r="AR71" s="95"/>
      <c r="AS71" s="96"/>
      <c r="AT71" s="97"/>
      <c r="AU71" s="103" t="s">
        <v>6</v>
      </c>
      <c r="AV71" s="104"/>
      <c r="AW71" s="121"/>
      <c r="AX71" s="95"/>
      <c r="AY71" s="96"/>
      <c r="AZ71" s="97"/>
      <c r="BA71" s="95"/>
      <c r="BB71" s="96"/>
      <c r="BC71" s="97"/>
      <c r="BD71" s="95"/>
      <c r="BE71" s="96"/>
      <c r="BF71" s="97"/>
      <c r="BG71" s="95"/>
      <c r="BH71" s="96"/>
      <c r="BI71" s="97"/>
      <c r="BJ71" s="27"/>
      <c r="BK71" s="28"/>
      <c r="BL71" s="28"/>
      <c r="BM71" s="28"/>
      <c r="BN71" s="28"/>
      <c r="BO71" s="28"/>
      <c r="BP71" s="28"/>
      <c r="BQ71" s="28"/>
      <c r="BR71" s="28"/>
      <c r="BS71" s="28"/>
      <c r="BT71" s="28"/>
      <c r="BU71" s="28"/>
      <c r="BV71" s="28"/>
      <c r="BW71" s="28"/>
      <c r="BX71" s="28"/>
      <c r="BY71" s="28"/>
      <c r="BZ71" s="28"/>
      <c r="CA71" s="28"/>
      <c r="CB71" s="28"/>
      <c r="CC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28"/>
      <c r="DS71" s="43"/>
      <c r="DT71" s="43"/>
      <c r="DU71" s="43"/>
    </row>
    <row r="72" spans="1:125" s="2" customFormat="1" ht="5.25" customHeight="1" x14ac:dyDescent="0.25">
      <c r="A72" s="28"/>
      <c r="B72" s="128"/>
      <c r="C72" s="128"/>
      <c r="D72" s="128"/>
      <c r="E72" s="128"/>
      <c r="F72" s="128"/>
      <c r="G72" s="128"/>
      <c r="H72" s="128"/>
      <c r="I72" s="1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9"/>
      <c r="Z72" s="129"/>
      <c r="AA72" s="129"/>
      <c r="AB72" s="129"/>
      <c r="AC72" s="129"/>
      <c r="AD72" s="129"/>
      <c r="AE72" s="130"/>
      <c r="AF72" s="98"/>
      <c r="AG72" s="99"/>
      <c r="AH72" s="100"/>
      <c r="AI72" s="98"/>
      <c r="AJ72" s="99"/>
      <c r="AK72" s="100"/>
      <c r="AL72" s="103"/>
      <c r="AM72" s="104"/>
      <c r="AN72" s="121"/>
      <c r="AO72" s="98"/>
      <c r="AP72" s="99"/>
      <c r="AQ72" s="100"/>
      <c r="AR72" s="98"/>
      <c r="AS72" s="99"/>
      <c r="AT72" s="100"/>
      <c r="AU72" s="103"/>
      <c r="AV72" s="104"/>
      <c r="AW72" s="121"/>
      <c r="AX72" s="98"/>
      <c r="AY72" s="99"/>
      <c r="AZ72" s="100"/>
      <c r="BA72" s="98"/>
      <c r="BB72" s="99"/>
      <c r="BC72" s="100"/>
      <c r="BD72" s="98"/>
      <c r="BE72" s="99"/>
      <c r="BF72" s="100"/>
      <c r="BG72" s="98"/>
      <c r="BH72" s="99"/>
      <c r="BI72" s="100"/>
      <c r="BJ72" s="27"/>
      <c r="BK72" s="28"/>
      <c r="BL72" s="28"/>
      <c r="BM72" s="28"/>
      <c r="BN72" s="28"/>
      <c r="BO72" s="28"/>
      <c r="BP72" s="28"/>
      <c r="BQ72" s="28"/>
      <c r="BR72" s="28"/>
      <c r="BS72" s="28"/>
      <c r="BT72" s="28"/>
      <c r="BU72" s="28"/>
      <c r="BV72" s="28"/>
      <c r="BW72" s="28"/>
      <c r="BX72" s="28"/>
      <c r="BY72" s="28"/>
      <c r="BZ72" s="28"/>
      <c r="CA72" s="28"/>
      <c r="CB72" s="28"/>
      <c r="CC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28"/>
      <c r="DS72" s="43"/>
      <c r="DT72" s="43"/>
      <c r="DU72" s="43"/>
    </row>
    <row r="73" spans="1:125" x14ac:dyDescent="0.2">
      <c r="A73" s="20"/>
      <c r="B73" s="20"/>
      <c r="C73" s="20"/>
      <c r="D73" s="20"/>
      <c r="E73" s="20"/>
      <c r="F73" s="20"/>
      <c r="G73" s="20"/>
      <c r="H73" s="20"/>
      <c r="I73" s="20"/>
      <c r="J73" s="30"/>
      <c r="K73" s="30"/>
      <c r="L73" s="62"/>
      <c r="M73" s="63"/>
      <c r="N73" s="64"/>
      <c r="O73" s="65"/>
      <c r="P73" s="65"/>
      <c r="Q73" s="62"/>
      <c r="R73" s="62"/>
      <c r="S73" s="62"/>
      <c r="T73" s="62"/>
      <c r="U73" s="30"/>
      <c r="V73" s="30"/>
      <c r="W73" s="30"/>
      <c r="X73" s="30"/>
      <c r="Y73" s="3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1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  <c r="CT73" s="20"/>
      <c r="CU73" s="20"/>
      <c r="CV73" s="20"/>
      <c r="CW73" s="20"/>
      <c r="CX73" s="20"/>
      <c r="CY73" s="20"/>
      <c r="CZ73" s="20"/>
      <c r="DA73" s="20"/>
      <c r="DB73" s="20"/>
      <c r="DC73" s="20"/>
      <c r="DD73" s="20"/>
      <c r="DE73" s="20"/>
      <c r="DF73" s="20"/>
      <c r="DG73" s="20"/>
      <c r="DH73" s="20"/>
      <c r="DI73" s="20"/>
      <c r="DJ73" s="20"/>
      <c r="DK73" s="20"/>
      <c r="DL73" s="20"/>
      <c r="DM73" s="20"/>
      <c r="DN73" s="20"/>
      <c r="DO73" s="20"/>
      <c r="DP73" s="20"/>
      <c r="DQ73" s="20"/>
      <c r="DR73" s="20"/>
      <c r="DS73" s="40"/>
      <c r="DT73" s="40"/>
      <c r="DU73" s="40"/>
    </row>
    <row r="74" spans="1:125" ht="17.25" customHeight="1" x14ac:dyDescent="0.2">
      <c r="A74" s="20"/>
      <c r="B74" s="117" t="s">
        <v>27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117"/>
      <c r="AA74" s="117"/>
      <c r="AB74" s="117"/>
      <c r="AC74" s="117"/>
      <c r="AD74" s="117"/>
      <c r="AE74" s="117"/>
      <c r="AF74" s="117"/>
      <c r="AG74" s="117"/>
      <c r="AH74" s="117"/>
      <c r="AI74" s="117"/>
      <c r="AJ74" s="117"/>
      <c r="AK74" s="117"/>
      <c r="AL74" s="117"/>
      <c r="AM74" s="117"/>
      <c r="AN74" s="117"/>
      <c r="AO74" s="117"/>
      <c r="AP74" s="117"/>
      <c r="AQ74" s="117"/>
      <c r="AR74" s="117"/>
      <c r="AS74" s="117"/>
      <c r="AT74" s="117"/>
      <c r="AU74" s="117"/>
      <c r="AV74" s="117"/>
      <c r="AW74" s="117"/>
      <c r="AX74" s="117"/>
      <c r="AY74" s="117"/>
      <c r="AZ74" s="117"/>
      <c r="BA74" s="117"/>
      <c r="BB74" s="117"/>
      <c r="BC74" s="117"/>
      <c r="BD74" s="117"/>
      <c r="BE74" s="117"/>
      <c r="BF74" s="117"/>
      <c r="BG74" s="117"/>
      <c r="BH74" s="117"/>
      <c r="BI74" s="117"/>
      <c r="BJ74" s="21"/>
      <c r="BK74" s="20"/>
      <c r="BL74" s="20"/>
      <c r="BM74" s="20"/>
      <c r="BN74" s="20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81"/>
      <c r="CF74" s="81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81"/>
      <c r="CT74" s="81"/>
      <c r="CU74" s="81"/>
      <c r="CV74" s="81"/>
      <c r="CW74" s="81"/>
      <c r="CX74" s="81"/>
      <c r="CY74" s="81"/>
      <c r="CZ74" s="81"/>
      <c r="DA74" s="81"/>
      <c r="DB74" s="81"/>
      <c r="DC74" s="81"/>
      <c r="DD74" s="81"/>
      <c r="DE74" s="81"/>
      <c r="DF74" s="81"/>
      <c r="DG74" s="81"/>
      <c r="DH74" s="81"/>
      <c r="DI74" s="81"/>
      <c r="DJ74" s="81"/>
      <c r="DK74" s="20"/>
      <c r="DL74" s="20"/>
      <c r="DM74" s="20"/>
      <c r="DN74" s="20"/>
      <c r="DO74" s="20"/>
      <c r="DP74" s="20"/>
      <c r="DQ74" s="20"/>
      <c r="DR74" s="20"/>
      <c r="DS74" s="40"/>
      <c r="DT74" s="40"/>
      <c r="DU74" s="40"/>
    </row>
    <row r="75" spans="1:125" x14ac:dyDescent="0.2">
      <c r="A75" s="20"/>
      <c r="B75" s="117" t="s">
        <v>28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117"/>
      <c r="AA75" s="117"/>
      <c r="AB75" s="117"/>
      <c r="AC75" s="117"/>
      <c r="AD75" s="117"/>
      <c r="AE75" s="117"/>
      <c r="AF75" s="117"/>
      <c r="AG75" s="117"/>
      <c r="AH75" s="117"/>
      <c r="AI75" s="117"/>
      <c r="AJ75" s="117"/>
      <c r="AK75" s="117"/>
      <c r="AL75" s="117"/>
      <c r="AM75" s="117"/>
      <c r="AN75" s="117"/>
      <c r="AO75" s="117"/>
      <c r="AP75" s="117"/>
      <c r="AQ75" s="117"/>
      <c r="AR75" s="117"/>
      <c r="AS75" s="117"/>
      <c r="AT75" s="117"/>
      <c r="AU75" s="117"/>
      <c r="AV75" s="117"/>
      <c r="AW75" s="117"/>
      <c r="AX75" s="117"/>
      <c r="AY75" s="117"/>
      <c r="AZ75" s="117"/>
      <c r="BA75" s="117"/>
      <c r="BB75" s="117"/>
      <c r="BC75" s="117"/>
      <c r="BD75" s="117"/>
      <c r="BE75" s="117"/>
      <c r="BF75" s="117"/>
      <c r="BG75" s="117"/>
      <c r="BH75" s="117"/>
      <c r="BI75" s="117"/>
      <c r="BJ75" s="21"/>
      <c r="BK75" s="20"/>
      <c r="BL75" s="20"/>
      <c r="BM75" s="20"/>
      <c r="BN75" s="20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81"/>
      <c r="CF75" s="81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81"/>
      <c r="CT75" s="81"/>
      <c r="CU75" s="81"/>
      <c r="CV75" s="81"/>
      <c r="CW75" s="81"/>
      <c r="CX75" s="81"/>
      <c r="CY75" s="81"/>
      <c r="CZ75" s="81"/>
      <c r="DA75" s="81"/>
      <c r="DB75" s="81"/>
      <c r="DC75" s="81"/>
      <c r="DD75" s="81"/>
      <c r="DE75" s="81"/>
      <c r="DF75" s="81"/>
      <c r="DG75" s="81"/>
      <c r="DH75" s="81"/>
      <c r="DI75" s="81"/>
      <c r="DJ75" s="81"/>
      <c r="DK75" s="20"/>
      <c r="DL75" s="20"/>
      <c r="DM75" s="20"/>
      <c r="DN75" s="20"/>
      <c r="DO75" s="20"/>
      <c r="DP75" s="20"/>
      <c r="DQ75" s="20"/>
      <c r="DR75" s="20"/>
      <c r="DS75" s="40"/>
      <c r="DT75" s="40"/>
      <c r="DU75" s="40"/>
    </row>
    <row r="76" spans="1:125" ht="17.25" customHeight="1" x14ac:dyDescent="0.2">
      <c r="A76" s="20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  <c r="S76" s="86"/>
      <c r="T76" s="86"/>
      <c r="U76" s="86"/>
      <c r="V76" s="86"/>
      <c r="W76" s="86"/>
      <c r="X76" s="86"/>
      <c r="Y76" s="86"/>
      <c r="Z76" s="86"/>
      <c r="AA76" s="86"/>
      <c r="AB76" s="86"/>
      <c r="AC76" s="86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AZ76" s="86"/>
      <c r="BA76" s="86"/>
      <c r="BB76" s="86"/>
      <c r="BC76" s="86"/>
      <c r="BD76" s="86"/>
      <c r="BE76" s="86"/>
      <c r="BF76" s="86"/>
      <c r="BG76" s="86"/>
      <c r="BH76" s="86"/>
      <c r="BI76" s="86"/>
      <c r="BJ76" s="21"/>
      <c r="BK76" s="20"/>
      <c r="BL76" s="20"/>
      <c r="BM76" s="20"/>
      <c r="BN76" s="20"/>
      <c r="BO76" s="82"/>
      <c r="BP76" s="82"/>
      <c r="BQ76" s="82"/>
      <c r="BR76" s="82"/>
      <c r="BS76" s="82"/>
      <c r="BT76" s="82"/>
      <c r="BU76" s="82"/>
      <c r="BV76" s="82"/>
      <c r="BW76" s="82"/>
      <c r="BX76" s="82"/>
      <c r="BY76" s="82"/>
      <c r="BZ76" s="82"/>
      <c r="CA76" s="82"/>
      <c r="CB76" s="82"/>
      <c r="CC76" s="82"/>
      <c r="CD76" s="82"/>
      <c r="CE76" s="82"/>
      <c r="CF76" s="82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82"/>
      <c r="CT76" s="82"/>
      <c r="CU76" s="82"/>
      <c r="CV76" s="82"/>
      <c r="CW76" s="82"/>
      <c r="CX76" s="82"/>
      <c r="CY76" s="82"/>
      <c r="CZ76" s="82"/>
      <c r="DA76" s="82"/>
      <c r="DB76" s="82"/>
      <c r="DC76" s="82"/>
      <c r="DD76" s="82"/>
      <c r="DE76" s="82"/>
      <c r="DF76" s="82"/>
      <c r="DG76" s="82"/>
      <c r="DH76" s="82"/>
      <c r="DI76" s="82"/>
      <c r="DJ76" s="82"/>
      <c r="DK76" s="20"/>
      <c r="DL76" s="20"/>
      <c r="DM76" s="20"/>
      <c r="DN76" s="20"/>
      <c r="DO76" s="20"/>
      <c r="DP76" s="20"/>
      <c r="DQ76" s="20"/>
      <c r="DR76" s="20"/>
      <c r="DS76" s="40"/>
      <c r="DT76" s="40"/>
      <c r="DU76" s="40"/>
    </row>
    <row r="77" spans="1:125" ht="3" customHeight="1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1"/>
      <c r="BK77" s="20"/>
      <c r="BL77" s="20"/>
      <c r="BM77" s="20"/>
      <c r="BN77" s="20"/>
      <c r="BO77" s="83" t="s">
        <v>63</v>
      </c>
      <c r="BP77" s="83"/>
      <c r="BQ77" s="83"/>
      <c r="BR77" s="83"/>
      <c r="BS77" s="83"/>
      <c r="BT77" s="83"/>
      <c r="BU77" s="83"/>
      <c r="BV77" s="83"/>
      <c r="BW77" s="83"/>
      <c r="BX77" s="83"/>
      <c r="BY77" s="83"/>
      <c r="BZ77" s="83"/>
      <c r="CA77" s="83"/>
      <c r="CB77" s="83"/>
      <c r="CC77" s="83"/>
      <c r="CD77" s="83"/>
      <c r="CE77" s="83"/>
      <c r="CF77" s="83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83" t="s">
        <v>25</v>
      </c>
      <c r="CT77" s="83"/>
      <c r="CU77" s="83"/>
      <c r="CV77" s="83"/>
      <c r="CW77" s="83"/>
      <c r="CX77" s="83"/>
      <c r="CY77" s="83"/>
      <c r="CZ77" s="83"/>
      <c r="DA77" s="83"/>
      <c r="DB77" s="83"/>
      <c r="DC77" s="83"/>
      <c r="DD77" s="83"/>
      <c r="DE77" s="83"/>
      <c r="DF77" s="83"/>
      <c r="DG77" s="83"/>
      <c r="DH77" s="83"/>
      <c r="DI77" s="83"/>
      <c r="DJ77" s="83"/>
      <c r="DK77" s="20"/>
      <c r="DL77" s="20"/>
      <c r="DM77" s="20"/>
      <c r="DN77" s="20"/>
      <c r="DO77" s="20"/>
      <c r="DP77" s="20"/>
      <c r="DQ77" s="20"/>
      <c r="DR77" s="20"/>
      <c r="DS77" s="40"/>
      <c r="DT77" s="40"/>
      <c r="DU77" s="40"/>
    </row>
    <row r="78" spans="1:125" ht="17.25" customHeight="1" x14ac:dyDescent="0.2">
      <c r="A78" s="20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  <c r="S78" s="86"/>
      <c r="T78" s="86"/>
      <c r="U78" s="86"/>
      <c r="V78" s="86"/>
      <c r="W78" s="86"/>
      <c r="X78" s="86"/>
      <c r="Y78" s="86"/>
      <c r="Z78" s="86"/>
      <c r="AA78" s="86"/>
      <c r="AB78" s="86"/>
      <c r="AC78" s="86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86"/>
      <c r="BB78" s="86"/>
      <c r="BC78" s="86"/>
      <c r="BD78" s="86"/>
      <c r="BE78" s="86"/>
      <c r="BF78" s="86"/>
      <c r="BG78" s="86"/>
      <c r="BH78" s="86"/>
      <c r="BI78" s="86"/>
      <c r="BJ78" s="21"/>
      <c r="BK78" s="20"/>
      <c r="BL78" s="20"/>
      <c r="BM78" s="20"/>
      <c r="BN78" s="20"/>
      <c r="BO78" s="84"/>
      <c r="BP78" s="84"/>
      <c r="BQ78" s="84"/>
      <c r="BR78" s="84"/>
      <c r="BS78" s="84"/>
      <c r="BT78" s="84"/>
      <c r="BU78" s="84"/>
      <c r="BV78" s="84"/>
      <c r="BW78" s="84"/>
      <c r="BX78" s="84"/>
      <c r="BY78" s="84"/>
      <c r="BZ78" s="84"/>
      <c r="CA78" s="84"/>
      <c r="CB78" s="84"/>
      <c r="CC78" s="84"/>
      <c r="CD78" s="84"/>
      <c r="CE78" s="84"/>
      <c r="CF78" s="84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84"/>
      <c r="CT78" s="84"/>
      <c r="CU78" s="84"/>
      <c r="CV78" s="84"/>
      <c r="CW78" s="84"/>
      <c r="CX78" s="84"/>
      <c r="CY78" s="84"/>
      <c r="CZ78" s="84"/>
      <c r="DA78" s="84"/>
      <c r="DB78" s="84"/>
      <c r="DC78" s="84"/>
      <c r="DD78" s="84"/>
      <c r="DE78" s="84"/>
      <c r="DF78" s="84"/>
      <c r="DG78" s="84"/>
      <c r="DH78" s="84"/>
      <c r="DI78" s="84"/>
      <c r="DJ78" s="84"/>
      <c r="DK78" s="20"/>
      <c r="DL78" s="20"/>
      <c r="DM78" s="20"/>
      <c r="DN78" s="20"/>
      <c r="DO78" s="20"/>
      <c r="DP78" s="20"/>
      <c r="DQ78" s="20"/>
      <c r="DR78" s="20"/>
      <c r="DS78" s="40"/>
      <c r="DT78" s="40"/>
      <c r="DU78" s="40"/>
    </row>
    <row r="79" spans="1:125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1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20"/>
      <c r="DO79" s="20"/>
      <c r="DP79" s="20"/>
      <c r="DQ79" s="20"/>
      <c r="DR79" s="20"/>
      <c r="DS79" s="40"/>
      <c r="DT79" s="40"/>
      <c r="DU79" s="40"/>
    </row>
    <row r="80" spans="1:125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  <c r="CT80" s="20"/>
      <c r="CU80" s="20"/>
      <c r="CV80" s="20"/>
      <c r="CW80" s="20"/>
      <c r="CX80" s="20"/>
      <c r="CY80" s="20"/>
      <c r="CZ80" s="20"/>
      <c r="DA80" s="20"/>
      <c r="DB80" s="20"/>
      <c r="DC80" s="20"/>
      <c r="DD80" s="20"/>
      <c r="DE80" s="20"/>
      <c r="DF80" s="20"/>
      <c r="DG80" s="20"/>
      <c r="DH80" s="20"/>
      <c r="DI80" s="20"/>
      <c r="DJ80" s="20"/>
      <c r="DK80" s="20"/>
      <c r="DL80" s="20"/>
      <c r="DM80" s="20"/>
      <c r="DN80" s="20"/>
      <c r="DO80" s="20"/>
      <c r="DP80" s="20"/>
      <c r="DQ80" s="20"/>
      <c r="DR80" s="20"/>
      <c r="DS80" s="40"/>
      <c r="DT80" s="40"/>
      <c r="DU80" s="40"/>
    </row>
    <row r="81" spans="1:125" x14ac:dyDescent="0.2">
      <c r="A81" s="20"/>
      <c r="B81" s="20"/>
      <c r="C81" s="20"/>
      <c r="D81" s="20"/>
      <c r="E81" s="5"/>
      <c r="F81" s="5" t="s">
        <v>62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  <c r="CT81" s="20"/>
      <c r="CU81" s="20"/>
      <c r="CV81" s="20"/>
      <c r="CW81" s="20"/>
      <c r="CX81" s="20"/>
      <c r="CY81" s="20"/>
      <c r="CZ81" s="20"/>
      <c r="DA81" s="20"/>
      <c r="DB81" s="20"/>
      <c r="DC81" s="20"/>
      <c r="DD81" s="20"/>
      <c r="DE81" s="20"/>
      <c r="DF81" s="20"/>
      <c r="DG81" s="20"/>
      <c r="DH81" s="20"/>
      <c r="DI81" s="20"/>
      <c r="DJ81" s="20"/>
      <c r="DK81" s="20"/>
      <c r="DL81" s="20"/>
      <c r="DM81" s="20"/>
      <c r="DN81" s="20"/>
      <c r="DO81" s="20"/>
      <c r="DP81" s="20"/>
      <c r="DQ81" s="20"/>
      <c r="DR81" s="20"/>
      <c r="DS81" s="40"/>
      <c r="DT81" s="40"/>
      <c r="DU81" s="40"/>
    </row>
    <row r="82" spans="1:125" ht="14.25" customHeight="1" x14ac:dyDescent="0.2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44"/>
      <c r="DN82" s="44"/>
      <c r="DO82" s="44"/>
      <c r="DP82" s="44"/>
      <c r="DQ82" s="20"/>
      <c r="DR82" s="20"/>
      <c r="DS82" s="40"/>
      <c r="DT82" s="40"/>
      <c r="DU82" s="40"/>
    </row>
    <row r="83" spans="1:125" x14ac:dyDescent="0.2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</row>
    <row r="84" spans="1:125" x14ac:dyDescent="0.2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</row>
    <row r="85" spans="1:125" x14ac:dyDescent="0.2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</row>
  </sheetData>
  <mergeCells count="603">
    <mergeCell ref="AE31:AG31"/>
    <mergeCell ref="AH31:AJ31"/>
    <mergeCell ref="AK31:AM31"/>
    <mergeCell ref="AZ31:BB31"/>
    <mergeCell ref="B28:X28"/>
    <mergeCell ref="B29:X29"/>
    <mergeCell ref="Z28:AC29"/>
    <mergeCell ref="CT28:CV29"/>
    <mergeCell ref="CS31:CU31"/>
    <mergeCell ref="CP31:CR31"/>
    <mergeCell ref="CM31:CO31"/>
    <mergeCell ref="CJ31:CL31"/>
    <mergeCell ref="BC31:BE31"/>
    <mergeCell ref="BF31:BH31"/>
    <mergeCell ref="CB28:CD29"/>
    <mergeCell ref="AF28:BH28"/>
    <mergeCell ref="AF29:BH29"/>
    <mergeCell ref="BI31:BK31"/>
    <mergeCell ref="CG31:CI31"/>
    <mergeCell ref="CD31:CF31"/>
    <mergeCell ref="CA31:CC31"/>
    <mergeCell ref="B31:AD31"/>
    <mergeCell ref="CS60:DJ61"/>
    <mergeCell ref="AR59:AT60"/>
    <mergeCell ref="AU59:AW60"/>
    <mergeCell ref="AL57:AN57"/>
    <mergeCell ref="AO59:AQ60"/>
    <mergeCell ref="AF57:AH57"/>
    <mergeCell ref="AO57:AQ57"/>
    <mergeCell ref="AR54:AT55"/>
    <mergeCell ref="AU54:AW55"/>
    <mergeCell ref="AF54:AH55"/>
    <mergeCell ref="AI54:AK55"/>
    <mergeCell ref="AL54:AN55"/>
    <mergeCell ref="AO54:AQ55"/>
    <mergeCell ref="AU57:AW57"/>
    <mergeCell ref="AI57:AK57"/>
    <mergeCell ref="AR57:AT57"/>
    <mergeCell ref="AX59:AZ60"/>
    <mergeCell ref="BA59:BC60"/>
    <mergeCell ref="CE53:CG54"/>
    <mergeCell ref="BK52:CC55"/>
    <mergeCell ref="CK53:CM54"/>
    <mergeCell ref="CQ53:CS54"/>
    <mergeCell ref="CN53:CP54"/>
    <mergeCell ref="AX54:AZ55"/>
    <mergeCell ref="DL50:DN51"/>
    <mergeCell ref="DF53:DH54"/>
    <mergeCell ref="DI53:DK54"/>
    <mergeCell ref="DL53:DN54"/>
    <mergeCell ref="B59:D60"/>
    <mergeCell ref="E59:G60"/>
    <mergeCell ref="H59:J60"/>
    <mergeCell ref="K59:M60"/>
    <mergeCell ref="CS57:DJ59"/>
    <mergeCell ref="Z59:AB60"/>
    <mergeCell ref="AC59:AE60"/>
    <mergeCell ref="AF59:AH60"/>
    <mergeCell ref="BO57:CF59"/>
    <mergeCell ref="BD59:BF60"/>
    <mergeCell ref="AI59:AK60"/>
    <mergeCell ref="N59:P60"/>
    <mergeCell ref="Q59:S60"/>
    <mergeCell ref="T59:V60"/>
    <mergeCell ref="W59:Y60"/>
    <mergeCell ref="AL59:AN60"/>
    <mergeCell ref="BA57:BC57"/>
    <mergeCell ref="BD57:BF57"/>
    <mergeCell ref="BG57:BI57"/>
    <mergeCell ref="AX57:AZ57"/>
    <mergeCell ref="T78:V78"/>
    <mergeCell ref="W78:Y78"/>
    <mergeCell ref="Z78:AB78"/>
    <mergeCell ref="AC78:AE78"/>
    <mergeCell ref="AF78:AH78"/>
    <mergeCell ref="BO60:CF61"/>
    <mergeCell ref="B69:BI69"/>
    <mergeCell ref="B78:D78"/>
    <mergeCell ref="E78:G78"/>
    <mergeCell ref="H78:J78"/>
    <mergeCell ref="K78:M78"/>
    <mergeCell ref="N78:P78"/>
    <mergeCell ref="Q78:S78"/>
    <mergeCell ref="AR78:AT78"/>
    <mergeCell ref="AU78:AW78"/>
    <mergeCell ref="BD76:BF76"/>
    <mergeCell ref="AL76:AN76"/>
    <mergeCell ref="AO76:AQ76"/>
    <mergeCell ref="AL78:AN78"/>
    <mergeCell ref="AO78:AQ78"/>
    <mergeCell ref="BG76:BI76"/>
    <mergeCell ref="AR76:AT76"/>
    <mergeCell ref="AU76:AW76"/>
    <mergeCell ref="AX76:AZ76"/>
    <mergeCell ref="AX78:AZ78"/>
    <mergeCell ref="BA78:BC78"/>
    <mergeCell ref="BD78:BF78"/>
    <mergeCell ref="BG78:BI78"/>
    <mergeCell ref="Z76:AB76"/>
    <mergeCell ref="AC76:AE76"/>
    <mergeCell ref="AF76:AH76"/>
    <mergeCell ref="AI76:AK76"/>
    <mergeCell ref="AI78:AK78"/>
    <mergeCell ref="B74:BI74"/>
    <mergeCell ref="B75:BI75"/>
    <mergeCell ref="B76:D76"/>
    <mergeCell ref="E76:G76"/>
    <mergeCell ref="H76:J76"/>
    <mergeCell ref="K76:M76"/>
    <mergeCell ref="N76:P76"/>
    <mergeCell ref="Q76:S76"/>
    <mergeCell ref="T76:V76"/>
    <mergeCell ref="W76:Y76"/>
    <mergeCell ref="BA76:BC76"/>
    <mergeCell ref="AU66:AW66"/>
    <mergeCell ref="BA62:BC62"/>
    <mergeCell ref="AU64:AW64"/>
    <mergeCell ref="AX64:AZ64"/>
    <mergeCell ref="AX62:AZ62"/>
    <mergeCell ref="AU62:AW62"/>
    <mergeCell ref="BG59:BI60"/>
    <mergeCell ref="AX66:AZ66"/>
    <mergeCell ref="AO68:AQ68"/>
    <mergeCell ref="AR68:AT68"/>
    <mergeCell ref="AU68:AW68"/>
    <mergeCell ref="AR64:AT64"/>
    <mergeCell ref="BD62:BF62"/>
    <mergeCell ref="BA68:BC68"/>
    <mergeCell ref="BD68:BF68"/>
    <mergeCell ref="BG68:BI68"/>
    <mergeCell ref="BA64:BC64"/>
    <mergeCell ref="BD64:BF64"/>
    <mergeCell ref="BG64:BI64"/>
    <mergeCell ref="BA66:BC66"/>
    <mergeCell ref="BD66:BF66"/>
    <mergeCell ref="BG66:BI66"/>
    <mergeCell ref="T62:V62"/>
    <mergeCell ref="W62:Y62"/>
    <mergeCell ref="E66:G66"/>
    <mergeCell ref="H66:J66"/>
    <mergeCell ref="K66:M66"/>
    <mergeCell ref="AC68:AE68"/>
    <mergeCell ref="AF68:AH68"/>
    <mergeCell ref="AL68:AN68"/>
    <mergeCell ref="AI66:AK66"/>
    <mergeCell ref="AC66:AE66"/>
    <mergeCell ref="E64:G64"/>
    <mergeCell ref="H64:J64"/>
    <mergeCell ref="K64:M64"/>
    <mergeCell ref="N64:P64"/>
    <mergeCell ref="Q64:S64"/>
    <mergeCell ref="T64:V64"/>
    <mergeCell ref="W64:Y64"/>
    <mergeCell ref="Z68:AB68"/>
    <mergeCell ref="E68:G68"/>
    <mergeCell ref="H68:J68"/>
    <mergeCell ref="W68:Y68"/>
    <mergeCell ref="N66:P66"/>
    <mergeCell ref="N68:P68"/>
    <mergeCell ref="Q68:S68"/>
    <mergeCell ref="AL71:AN72"/>
    <mergeCell ref="Z71:AE72"/>
    <mergeCell ref="BG62:BI62"/>
    <mergeCell ref="AL62:AN62"/>
    <mergeCell ref="AO64:AQ64"/>
    <mergeCell ref="AF62:AH62"/>
    <mergeCell ref="AI62:AK62"/>
    <mergeCell ref="AO62:AQ62"/>
    <mergeCell ref="AR62:AT62"/>
    <mergeCell ref="AF64:AH64"/>
    <mergeCell ref="AR71:AT72"/>
    <mergeCell ref="AX71:AZ72"/>
    <mergeCell ref="BA71:BC72"/>
    <mergeCell ref="BD71:BF72"/>
    <mergeCell ref="BG71:BI72"/>
    <mergeCell ref="AU71:AW72"/>
    <mergeCell ref="Z62:AB62"/>
    <mergeCell ref="AX68:AZ68"/>
    <mergeCell ref="AL64:AN64"/>
    <mergeCell ref="Z66:AB66"/>
    <mergeCell ref="AF66:AH66"/>
    <mergeCell ref="AL66:AN66"/>
    <mergeCell ref="AO66:AQ66"/>
    <mergeCell ref="AR66:AT66"/>
    <mergeCell ref="B62:D62"/>
    <mergeCell ref="B68:D68"/>
    <mergeCell ref="E62:G62"/>
    <mergeCell ref="H62:J62"/>
    <mergeCell ref="K62:M62"/>
    <mergeCell ref="N62:P62"/>
    <mergeCell ref="AO71:AQ72"/>
    <mergeCell ref="AC62:AE62"/>
    <mergeCell ref="Q66:S66"/>
    <mergeCell ref="T66:V66"/>
    <mergeCell ref="W66:Y66"/>
    <mergeCell ref="Q62:S62"/>
    <mergeCell ref="J70:Y71"/>
    <mergeCell ref="B64:D64"/>
    <mergeCell ref="K68:M68"/>
    <mergeCell ref="AF71:AH72"/>
    <mergeCell ref="AI71:AK72"/>
    <mergeCell ref="AC64:AE64"/>
    <mergeCell ref="Z64:AB64"/>
    <mergeCell ref="AI68:AK68"/>
    <mergeCell ref="AI64:AK64"/>
    <mergeCell ref="T68:V68"/>
    <mergeCell ref="B70:I72"/>
    <mergeCell ref="B66:D66"/>
    <mergeCell ref="B57:D57"/>
    <mergeCell ref="E57:G57"/>
    <mergeCell ref="H57:J57"/>
    <mergeCell ref="K57:M57"/>
    <mergeCell ref="N57:P57"/>
    <mergeCell ref="Z54:AB55"/>
    <mergeCell ref="AC54:AE55"/>
    <mergeCell ref="N54:P55"/>
    <mergeCell ref="Q54:S55"/>
    <mergeCell ref="T54:V55"/>
    <mergeCell ref="W54:Y55"/>
    <mergeCell ref="B54:D55"/>
    <mergeCell ref="E54:G55"/>
    <mergeCell ref="H54:J55"/>
    <mergeCell ref="K54:M55"/>
    <mergeCell ref="Q57:S57"/>
    <mergeCell ref="T57:V57"/>
    <mergeCell ref="W57:Y57"/>
    <mergeCell ref="Z57:AB57"/>
    <mergeCell ref="AC57:AE57"/>
    <mergeCell ref="DC50:DE51"/>
    <mergeCell ref="CR45:CT47"/>
    <mergeCell ref="CU45:CW47"/>
    <mergeCell ref="CX45:CZ47"/>
    <mergeCell ref="CZ50:DB51"/>
    <mergeCell ref="BG44:BI45"/>
    <mergeCell ref="CT50:CV51"/>
    <mergeCell ref="CW50:CY51"/>
    <mergeCell ref="DO53:DQ54"/>
    <mergeCell ref="CT53:CV54"/>
    <mergeCell ref="CW53:CY54"/>
    <mergeCell ref="CZ53:DB54"/>
    <mergeCell ref="DC53:DE54"/>
    <mergeCell ref="DI50:DK51"/>
    <mergeCell ref="DO50:DQ51"/>
    <mergeCell ref="DF50:DH51"/>
    <mergeCell ref="CH53:CJ54"/>
    <mergeCell ref="B49:BI50"/>
    <mergeCell ref="CQ50:CS51"/>
    <mergeCell ref="CN50:CP51"/>
    <mergeCell ref="B51:D52"/>
    <mergeCell ref="E51:G52"/>
    <mergeCell ref="BL49:CK51"/>
    <mergeCell ref="T51:V52"/>
    <mergeCell ref="H51:J52"/>
    <mergeCell ref="K51:M52"/>
    <mergeCell ref="N51:P52"/>
    <mergeCell ref="AX51:AZ52"/>
    <mergeCell ref="Q51:S52"/>
    <mergeCell ref="AI51:AK52"/>
    <mergeCell ref="AL51:AN52"/>
    <mergeCell ref="AU51:AW52"/>
    <mergeCell ref="Z51:AB52"/>
    <mergeCell ref="AF51:AH52"/>
    <mergeCell ref="W51:Y52"/>
    <mergeCell ref="AC51:AE52"/>
    <mergeCell ref="AO51:AQ52"/>
    <mergeCell ref="AR51:AT52"/>
    <mergeCell ref="BA51:BC52"/>
    <mergeCell ref="BG54:BI55"/>
    <mergeCell ref="AF47:AH48"/>
    <mergeCell ref="AI47:AK48"/>
    <mergeCell ref="AL47:AN48"/>
    <mergeCell ref="AO47:AQ48"/>
    <mergeCell ref="AR47:AT48"/>
    <mergeCell ref="AU47:AW48"/>
    <mergeCell ref="BD47:BF48"/>
    <mergeCell ref="AX47:AZ48"/>
    <mergeCell ref="BD51:BF52"/>
    <mergeCell ref="BG51:BI52"/>
    <mergeCell ref="BD54:BF55"/>
    <mergeCell ref="BG47:BI48"/>
    <mergeCell ref="BA54:BC55"/>
    <mergeCell ref="B47:D48"/>
    <mergeCell ref="E47:G48"/>
    <mergeCell ref="H47:J48"/>
    <mergeCell ref="K47:M48"/>
    <mergeCell ref="Z44:AB45"/>
    <mergeCell ref="AC44:AE45"/>
    <mergeCell ref="N47:P48"/>
    <mergeCell ref="Q47:S48"/>
    <mergeCell ref="T47:V48"/>
    <mergeCell ref="W47:Y48"/>
    <mergeCell ref="Z47:AB48"/>
    <mergeCell ref="AC47:AE48"/>
    <mergeCell ref="N44:P45"/>
    <mergeCell ref="Q44:S45"/>
    <mergeCell ref="T44:V45"/>
    <mergeCell ref="W44:Y45"/>
    <mergeCell ref="B44:D45"/>
    <mergeCell ref="E44:G45"/>
    <mergeCell ref="H44:J45"/>
    <mergeCell ref="K44:M45"/>
    <mergeCell ref="N39:P40"/>
    <mergeCell ref="BL38:DG39"/>
    <mergeCell ref="R38:BI41"/>
    <mergeCell ref="CB42:CD42"/>
    <mergeCell ref="CE42:CG42"/>
    <mergeCell ref="AF44:AH45"/>
    <mergeCell ref="AI44:AK45"/>
    <mergeCell ref="AX44:AZ45"/>
    <mergeCell ref="BA44:BC45"/>
    <mergeCell ref="AL44:AN45"/>
    <mergeCell ref="AO44:AQ45"/>
    <mergeCell ref="Q42:S42"/>
    <mergeCell ref="T42:V42"/>
    <mergeCell ref="W42:Y42"/>
    <mergeCell ref="AL42:AN42"/>
    <mergeCell ref="AO42:AQ42"/>
    <mergeCell ref="DL38:DN39"/>
    <mergeCell ref="DF45:DQ47"/>
    <mergeCell ref="BK44:CL48"/>
    <mergeCell ref="AR44:AT45"/>
    <mergeCell ref="AU44:AW45"/>
    <mergeCell ref="BD44:BF45"/>
    <mergeCell ref="BA47:BC48"/>
    <mergeCell ref="DI38:DK39"/>
    <mergeCell ref="DC33:DE33"/>
    <mergeCell ref="DF33:DH33"/>
    <mergeCell ref="BK35:DQ35"/>
    <mergeCell ref="BK36:DQ36"/>
    <mergeCell ref="BY42:CA42"/>
    <mergeCell ref="AR42:AT42"/>
    <mergeCell ref="AU42:AW42"/>
    <mergeCell ref="F33:H33"/>
    <mergeCell ref="I33:K33"/>
    <mergeCell ref="L33:N33"/>
    <mergeCell ref="CZ33:DB33"/>
    <mergeCell ref="Z42:AB42"/>
    <mergeCell ref="AC42:AE42"/>
    <mergeCell ref="AF42:AH42"/>
    <mergeCell ref="AI42:AK42"/>
    <mergeCell ref="BL31:BN31"/>
    <mergeCell ref="BO31:BQ31"/>
    <mergeCell ref="BX31:BZ31"/>
    <mergeCell ref="BU31:BW31"/>
    <mergeCell ref="BR31:BT31"/>
    <mergeCell ref="AX42:AZ42"/>
    <mergeCell ref="BA42:BC42"/>
    <mergeCell ref="BD42:BF42"/>
    <mergeCell ref="BG42:BI42"/>
    <mergeCell ref="B35:BJ35"/>
    <mergeCell ref="B36:BJ36"/>
    <mergeCell ref="B42:D42"/>
    <mergeCell ref="E42:G42"/>
    <mergeCell ref="H42:J42"/>
    <mergeCell ref="K42:M42"/>
    <mergeCell ref="N42:P42"/>
    <mergeCell ref="DN13:DP13"/>
    <mergeCell ref="DK13:DM13"/>
    <mergeCell ref="DI17:DK17"/>
    <mergeCell ref="AN31:AP31"/>
    <mergeCell ref="AQ31:AS31"/>
    <mergeCell ref="AT31:AV31"/>
    <mergeCell ref="AW31:AY31"/>
    <mergeCell ref="BP23:BR23"/>
    <mergeCell ref="BS23:BU23"/>
    <mergeCell ref="BJ23:BL23"/>
    <mergeCell ref="DG15:DI15"/>
    <mergeCell ref="DJ15:DL15"/>
    <mergeCell ref="DM15:DO15"/>
    <mergeCell ref="DO21:DQ21"/>
    <mergeCell ref="DF19:DH19"/>
    <mergeCell ref="DI23:DK23"/>
    <mergeCell ref="DL23:DN23"/>
    <mergeCell ref="DO23:DQ23"/>
    <mergeCell ref="DL17:DN17"/>
    <mergeCell ref="CQ23:CS23"/>
    <mergeCell ref="BJ28:BL29"/>
    <mergeCell ref="BQ26:BS26"/>
    <mergeCell ref="BT26:BV26"/>
    <mergeCell ref="BW26:BY26"/>
    <mergeCell ref="B24:DQ24"/>
    <mergeCell ref="CF26:CH26"/>
    <mergeCell ref="B26:BN26"/>
    <mergeCell ref="BZ26:CB26"/>
    <mergeCell ref="CC26:CE26"/>
    <mergeCell ref="DL28:DN29"/>
    <mergeCell ref="DI28:DK29"/>
    <mergeCell ref="CN28:CP29"/>
    <mergeCell ref="CH28:CJ29"/>
    <mergeCell ref="CK28:CM29"/>
    <mergeCell ref="DO28:DQ29"/>
    <mergeCell ref="CZ28:DB29"/>
    <mergeCell ref="DC28:DE29"/>
    <mergeCell ref="DF28:DH29"/>
    <mergeCell ref="CE28:CG29"/>
    <mergeCell ref="BM28:BO29"/>
    <mergeCell ref="CQ28:CS29"/>
    <mergeCell ref="CW28:CY29"/>
    <mergeCell ref="BP28:BR29"/>
    <mergeCell ref="BS28:BU29"/>
    <mergeCell ref="BV28:BX29"/>
    <mergeCell ref="BY28:CA29"/>
    <mergeCell ref="DO17:DQ17"/>
    <mergeCell ref="DO19:DQ19"/>
    <mergeCell ref="DI19:DK19"/>
    <mergeCell ref="DL19:DN19"/>
    <mergeCell ref="DI21:DK21"/>
    <mergeCell ref="BY23:CA23"/>
    <mergeCell ref="CB23:CD23"/>
    <mergeCell ref="CK23:CM23"/>
    <mergeCell ref="DF21:DH21"/>
    <mergeCell ref="CZ21:DB21"/>
    <mergeCell ref="CB19:CD19"/>
    <mergeCell ref="DF23:DH23"/>
    <mergeCell ref="CW23:CY23"/>
    <mergeCell ref="CZ23:DB23"/>
    <mergeCell ref="DC23:DE23"/>
    <mergeCell ref="CK21:CM21"/>
    <mergeCell ref="CN23:CP23"/>
    <mergeCell ref="CK17:CM17"/>
    <mergeCell ref="CN17:CP17"/>
    <mergeCell ref="CW17:CY17"/>
    <mergeCell ref="CK19:CM19"/>
    <mergeCell ref="CN19:CP19"/>
    <mergeCell ref="CQ19:CS19"/>
    <mergeCell ref="CE23:CG23"/>
    <mergeCell ref="CH19:CJ19"/>
    <mergeCell ref="DF17:DH17"/>
    <mergeCell ref="CZ17:DB17"/>
    <mergeCell ref="BD23:BF23"/>
    <mergeCell ref="AX2:AZ3"/>
    <mergeCell ref="AD5:AK5"/>
    <mergeCell ref="AB13:AD13"/>
    <mergeCell ref="AE13:AG13"/>
    <mergeCell ref="AR2:AT3"/>
    <mergeCell ref="AU2:AW3"/>
    <mergeCell ref="B10:DQ10"/>
    <mergeCell ref="DL21:DN21"/>
    <mergeCell ref="AL5:AN5"/>
    <mergeCell ref="AO5:AQ5"/>
    <mergeCell ref="Y13:AA13"/>
    <mergeCell ref="BY13:CA13"/>
    <mergeCell ref="DE13:DG13"/>
    <mergeCell ref="DH13:DJ13"/>
    <mergeCell ref="B11:DQ11"/>
    <mergeCell ref="BV5:BX5"/>
    <mergeCell ref="AU5:AW5"/>
    <mergeCell ref="BG5:BI5"/>
    <mergeCell ref="CH23:CJ23"/>
    <mergeCell ref="CT23:CV23"/>
    <mergeCell ref="BY5:CA5"/>
    <mergeCell ref="AX5:AZ5"/>
    <mergeCell ref="AR5:AT5"/>
    <mergeCell ref="AO2:AQ3"/>
    <mergeCell ref="AL2:AN3"/>
    <mergeCell ref="BA5:BC5"/>
    <mergeCell ref="BD5:BF5"/>
    <mergeCell ref="BM2:BO3"/>
    <mergeCell ref="BP2:BR3"/>
    <mergeCell ref="BA2:BC3"/>
    <mergeCell ref="BD2:BF3"/>
    <mergeCell ref="BG2:BI3"/>
    <mergeCell ref="BJ2:BL3"/>
    <mergeCell ref="BS2:BU3"/>
    <mergeCell ref="CJ8:DQ8"/>
    <mergeCell ref="BG21:BI21"/>
    <mergeCell ref="BJ21:BL21"/>
    <mergeCell ref="BM21:BO21"/>
    <mergeCell ref="BM5:BR5"/>
    <mergeCell ref="BV13:BX13"/>
    <mergeCell ref="BJ5:BL5"/>
    <mergeCell ref="BS5:BU5"/>
    <mergeCell ref="BP19:BR19"/>
    <mergeCell ref="DC17:DE17"/>
    <mergeCell ref="BM19:BO19"/>
    <mergeCell ref="DC21:DE21"/>
    <mergeCell ref="CE21:CG21"/>
    <mergeCell ref="CQ21:CS21"/>
    <mergeCell ref="CT21:CV21"/>
    <mergeCell ref="CW21:CY21"/>
    <mergeCell ref="CT19:CV19"/>
    <mergeCell ref="BS19:BU19"/>
    <mergeCell ref="BS17:BU17"/>
    <mergeCell ref="BV17:BX17"/>
    <mergeCell ref="BP17:BR17"/>
    <mergeCell ref="BV19:BX19"/>
    <mergeCell ref="DC19:DE19"/>
    <mergeCell ref="CE19:CG19"/>
    <mergeCell ref="B23:D23"/>
    <mergeCell ref="E23:G23"/>
    <mergeCell ref="H23:J23"/>
    <mergeCell ref="K23:M23"/>
    <mergeCell ref="AI23:AK23"/>
    <mergeCell ref="Z23:AB23"/>
    <mergeCell ref="AC23:AE23"/>
    <mergeCell ref="AF23:AH23"/>
    <mergeCell ref="N23:P23"/>
    <mergeCell ref="Q23:S23"/>
    <mergeCell ref="T23:V23"/>
    <mergeCell ref="W23:Y23"/>
    <mergeCell ref="BG23:BI23"/>
    <mergeCell ref="AX23:AZ23"/>
    <mergeCell ref="AU21:AW21"/>
    <mergeCell ref="BS21:BU21"/>
    <mergeCell ref="AX21:AZ21"/>
    <mergeCell ref="BA21:BC21"/>
    <mergeCell ref="BD21:BF21"/>
    <mergeCell ref="BM23:BO23"/>
    <mergeCell ref="BV23:BX23"/>
    <mergeCell ref="BV21:BX21"/>
    <mergeCell ref="N21:P21"/>
    <mergeCell ref="Q21:S21"/>
    <mergeCell ref="CH21:CJ21"/>
    <mergeCell ref="BP21:BR21"/>
    <mergeCell ref="AC21:AE21"/>
    <mergeCell ref="AF21:AH21"/>
    <mergeCell ref="AI21:AK21"/>
    <mergeCell ref="AL21:AN21"/>
    <mergeCell ref="AO21:AQ21"/>
    <mergeCell ref="AR21:AT21"/>
    <mergeCell ref="W19:Y19"/>
    <mergeCell ref="AI19:AK19"/>
    <mergeCell ref="AL19:AN19"/>
    <mergeCell ref="AO19:AQ19"/>
    <mergeCell ref="AR19:AT19"/>
    <mergeCell ref="AU19:AW19"/>
    <mergeCell ref="AX19:AZ19"/>
    <mergeCell ref="AL23:AN23"/>
    <mergeCell ref="AO23:AQ23"/>
    <mergeCell ref="AR23:AT23"/>
    <mergeCell ref="AU23:AW23"/>
    <mergeCell ref="E17:G17"/>
    <mergeCell ref="H17:J17"/>
    <mergeCell ref="N17:P17"/>
    <mergeCell ref="Q17:S17"/>
    <mergeCell ref="T17:V17"/>
    <mergeCell ref="CN21:CP21"/>
    <mergeCell ref="CH17:CJ17"/>
    <mergeCell ref="Z17:AB17"/>
    <mergeCell ref="B21:D21"/>
    <mergeCell ref="E21:G21"/>
    <mergeCell ref="H21:J21"/>
    <mergeCell ref="K21:M21"/>
    <mergeCell ref="T21:V21"/>
    <mergeCell ref="W21:Y21"/>
    <mergeCell ref="Z21:AB21"/>
    <mergeCell ref="BA19:BC19"/>
    <mergeCell ref="BD19:BF19"/>
    <mergeCell ref="B19:D19"/>
    <mergeCell ref="E19:G19"/>
    <mergeCell ref="H19:J19"/>
    <mergeCell ref="K19:M19"/>
    <mergeCell ref="N19:P19"/>
    <mergeCell ref="Q19:S19"/>
    <mergeCell ref="T19:V19"/>
    <mergeCell ref="BJ17:BL17"/>
    <mergeCell ref="CB17:CD17"/>
    <mergeCell ref="CE17:CG17"/>
    <mergeCell ref="CE1:DR5"/>
    <mergeCell ref="CS77:DJ78"/>
    <mergeCell ref="BE15:BG15"/>
    <mergeCell ref="BH15:BJ15"/>
    <mergeCell ref="CJ26:CL26"/>
    <mergeCell ref="AO17:AQ17"/>
    <mergeCell ref="AR17:AT17"/>
    <mergeCell ref="AU17:AW17"/>
    <mergeCell ref="AX17:AZ17"/>
    <mergeCell ref="BM17:BO17"/>
    <mergeCell ref="BG19:BI19"/>
    <mergeCell ref="BJ19:BL19"/>
    <mergeCell ref="BY19:CA19"/>
    <mergeCell ref="CW19:CY19"/>
    <mergeCell ref="CZ19:DB19"/>
    <mergeCell ref="BY21:CA21"/>
    <mergeCell ref="CB21:CD21"/>
    <mergeCell ref="CQ17:CS17"/>
    <mergeCell ref="CT17:CV17"/>
    <mergeCell ref="BY17:CA17"/>
    <mergeCell ref="BA23:BC23"/>
    <mergeCell ref="B2:D2"/>
    <mergeCell ref="BO74:CF76"/>
    <mergeCell ref="CS74:DJ76"/>
    <mergeCell ref="BO77:CF78"/>
    <mergeCell ref="AD2:AK2"/>
    <mergeCell ref="K17:M17"/>
    <mergeCell ref="A1:D1"/>
    <mergeCell ref="Z1:AC1"/>
    <mergeCell ref="AY15:BA15"/>
    <mergeCell ref="BB15:BD15"/>
    <mergeCell ref="Z2:AB2"/>
    <mergeCell ref="AC17:AE17"/>
    <mergeCell ref="AF17:AH17"/>
    <mergeCell ref="AI17:AK17"/>
    <mergeCell ref="AL17:AN17"/>
    <mergeCell ref="W17:Y17"/>
    <mergeCell ref="Z19:AB19"/>
    <mergeCell ref="AC19:AE19"/>
    <mergeCell ref="AF19:AH19"/>
    <mergeCell ref="B17:D17"/>
    <mergeCell ref="CM26:CO26"/>
    <mergeCell ref="BA17:BC17"/>
    <mergeCell ref="BD17:BF17"/>
    <mergeCell ref="BG17:BI17"/>
  </mergeCells>
  <phoneticPr fontId="23" type="noConversion"/>
  <printOptions horizontalCentered="1"/>
  <pageMargins left="0.19685039370078741" right="0.19685039370078741" top="0.48" bottom="0.44" header="0" footer="0"/>
  <pageSetup paperSize="9" scale="93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pageSetUpPr fitToPage="1"/>
  </sheetPr>
  <dimension ref="A1:DY91"/>
  <sheetViews>
    <sheetView showGridLines="0" view="pageBreakPreview" zoomScaleNormal="100" zoomScaleSheetLayoutView="100" workbookViewId="0">
      <selection activeCell="CB48" sqref="CB48:CD49"/>
    </sheetView>
  </sheetViews>
  <sheetFormatPr defaultColWidth="0.88671875" defaultRowHeight="11.4" x14ac:dyDescent="0.2"/>
  <cols>
    <col min="1" max="28" width="0.88671875" style="4"/>
    <col min="29" max="29" width="0.88671875" style="4" customWidth="1"/>
    <col min="30" max="31" width="0.88671875" style="4"/>
    <col min="32" max="32" width="6.33203125" style="4" customWidth="1"/>
    <col min="33" max="33" width="0.88671875" style="4" customWidth="1"/>
    <col min="34" max="121" width="0.88671875" style="4"/>
    <col min="122" max="122" width="1.33203125" style="4" customWidth="1"/>
    <col min="123" max="123" width="8.5546875" style="4" customWidth="1"/>
    <col min="124" max="16384" width="0.88671875" style="4"/>
  </cols>
  <sheetData>
    <row r="1" spans="1:129" ht="15.75" customHeight="1" x14ac:dyDescent="0.2">
      <c r="A1" s="159"/>
      <c r="B1" s="159"/>
      <c r="C1" s="159"/>
      <c r="D1" s="16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61"/>
      <c r="AA1" s="159"/>
      <c r="AB1" s="159"/>
      <c r="AC1" s="16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">
      <c r="A2" s="5"/>
      <c r="B2" s="80"/>
      <c r="C2" s="80"/>
      <c r="D2" s="80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80"/>
      <c r="AA2" s="80"/>
      <c r="AB2" s="80"/>
      <c r="AC2" s="5"/>
      <c r="AD2" s="85" t="s">
        <v>2</v>
      </c>
      <c r="AE2" s="85"/>
      <c r="AF2" s="85"/>
      <c r="AG2" s="85"/>
      <c r="AH2" s="85"/>
      <c r="AI2" s="85"/>
      <c r="AJ2" s="85"/>
      <c r="AK2" s="85"/>
      <c r="AL2" s="162" t="str">
        <f>IF(ISBLANK(str.1!AL2),"",str.1!AL2)</f>
        <v>1</v>
      </c>
      <c r="AM2" s="163"/>
      <c r="AN2" s="164"/>
      <c r="AO2" s="162" t="str">
        <f>IF(ISBLANK(str.1!AO2),"",str.1!AO2)</f>
        <v>2</v>
      </c>
      <c r="AP2" s="163"/>
      <c r="AQ2" s="164"/>
      <c r="AR2" s="162" t="str">
        <f>IF(ISBLANK(str.1!AR2),"",str.1!AR2)</f>
        <v>2</v>
      </c>
      <c r="AS2" s="163"/>
      <c r="AT2" s="164"/>
      <c r="AU2" s="162" t="str">
        <f>IF(ISBLANK(str.1!AU2),"",str.1!AU2)</f>
        <v>1</v>
      </c>
      <c r="AV2" s="163"/>
      <c r="AW2" s="164"/>
      <c r="AX2" s="162" t="str">
        <f>IF(ISBLANK(str.1!AX2),"",str.1!AX2)</f>
        <v>1</v>
      </c>
      <c r="AY2" s="163"/>
      <c r="AZ2" s="164"/>
      <c r="BA2" s="162" t="str">
        <f>IF(ISBLANK(str.1!BA2),"",str.1!BA2)</f>
        <v>1</v>
      </c>
      <c r="BB2" s="163"/>
      <c r="BC2" s="164"/>
      <c r="BD2" s="162" t="str">
        <f>IF(ISBLANK(str.1!BD2),"",str.1!BD2)</f>
        <v>2</v>
      </c>
      <c r="BE2" s="163"/>
      <c r="BF2" s="164"/>
      <c r="BG2" s="162" t="str">
        <f>IF(ISBLANK(str.1!BG2),"",str.1!BG2)</f>
        <v>2</v>
      </c>
      <c r="BH2" s="163"/>
      <c r="BI2" s="164"/>
      <c r="BJ2" s="162" t="str">
        <f>IF(ISBLANK(str.1!BJ2),"",str.1!BJ2)</f>
        <v>1</v>
      </c>
      <c r="BK2" s="163"/>
      <c r="BL2" s="164"/>
      <c r="BM2" s="162" t="str">
        <f>IF(ISBLANK(str.1!BM2),"",str.1!BM2)</f>
        <v>2</v>
      </c>
      <c r="BN2" s="163"/>
      <c r="BO2" s="164"/>
      <c r="BP2" s="162" t="str">
        <f>IF(ISBLANK(str.1!BP2),"",str.1!BP2)</f>
        <v>2</v>
      </c>
      <c r="BQ2" s="163"/>
      <c r="BR2" s="164"/>
      <c r="BS2" s="162" t="str">
        <f>IF(ISBLANK(str.1!BS2),"",str.1!BS2)</f>
        <v>1</v>
      </c>
      <c r="BT2" s="163"/>
      <c r="BU2" s="164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25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65"/>
      <c r="AM3" s="166"/>
      <c r="AN3" s="167"/>
      <c r="AO3" s="165"/>
      <c r="AP3" s="166"/>
      <c r="AQ3" s="167"/>
      <c r="AR3" s="165"/>
      <c r="AS3" s="166"/>
      <c r="AT3" s="167"/>
      <c r="AU3" s="165"/>
      <c r="AV3" s="166"/>
      <c r="AW3" s="167"/>
      <c r="AX3" s="165"/>
      <c r="AY3" s="166"/>
      <c r="AZ3" s="167"/>
      <c r="BA3" s="165"/>
      <c r="BB3" s="166"/>
      <c r="BC3" s="167"/>
      <c r="BD3" s="165"/>
      <c r="BE3" s="166"/>
      <c r="BF3" s="167"/>
      <c r="BG3" s="165"/>
      <c r="BH3" s="166"/>
      <c r="BI3" s="167"/>
      <c r="BJ3" s="165"/>
      <c r="BK3" s="166"/>
      <c r="BL3" s="167"/>
      <c r="BM3" s="165"/>
      <c r="BN3" s="166"/>
      <c r="BO3" s="167"/>
      <c r="BP3" s="165"/>
      <c r="BQ3" s="166"/>
      <c r="BR3" s="167"/>
      <c r="BS3" s="165"/>
      <c r="BT3" s="166"/>
      <c r="BU3" s="167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25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2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85" t="s">
        <v>3</v>
      </c>
      <c r="AE5" s="85"/>
      <c r="AF5" s="85"/>
      <c r="AG5" s="85"/>
      <c r="AH5" s="85"/>
      <c r="AI5" s="85"/>
      <c r="AJ5" s="85"/>
      <c r="AK5" s="85"/>
      <c r="AL5" s="169" t="str">
        <f>IF(ISBLANK(str.1!AL5),"",str.1!AL5)</f>
        <v>-</v>
      </c>
      <c r="AM5" s="169"/>
      <c r="AN5" s="169"/>
      <c r="AO5" s="169" t="str">
        <f>IF(ISBLANK(str.1!AO5),"",str.1!AO5)</f>
        <v>-</v>
      </c>
      <c r="AP5" s="169"/>
      <c r="AQ5" s="169"/>
      <c r="AR5" s="169" t="str">
        <f>IF(ISBLANK(str.1!AR5),"",str.1!AR5)</f>
        <v>-</v>
      </c>
      <c r="AS5" s="169"/>
      <c r="AT5" s="169"/>
      <c r="AU5" s="169" t="str">
        <f>IF(ISBLANK(str.1!AU5),"",str.1!AU5)</f>
        <v>-</v>
      </c>
      <c r="AV5" s="169"/>
      <c r="AW5" s="169"/>
      <c r="AX5" s="169" t="str">
        <f>IF(ISBLANK(str.1!AX5),"",str.1!AX5)</f>
        <v>-</v>
      </c>
      <c r="AY5" s="169"/>
      <c r="AZ5" s="169"/>
      <c r="BA5" s="169" t="str">
        <f>IF(ISBLANK(str.1!BA5),"",str.1!BA5)</f>
        <v>-</v>
      </c>
      <c r="BB5" s="169"/>
      <c r="BC5" s="169"/>
      <c r="BD5" s="169" t="str">
        <f>IF(ISBLANK(str.1!BD5),"",str.1!BD5)</f>
        <v>-</v>
      </c>
      <c r="BE5" s="169"/>
      <c r="BF5" s="169"/>
      <c r="BG5" s="169" t="str">
        <f>IF(ISBLANK(str.1!BG5),"",str.1!BG5)</f>
        <v>-</v>
      </c>
      <c r="BH5" s="169"/>
      <c r="BI5" s="169"/>
      <c r="BJ5" s="169" t="str">
        <f>IF(ISBLANK(str.1!BJ5),"",str.1!BJ5)</f>
        <v>-</v>
      </c>
      <c r="BK5" s="169"/>
      <c r="BL5" s="169"/>
      <c r="BM5" s="171" t="s">
        <v>4</v>
      </c>
      <c r="BN5" s="172"/>
      <c r="BO5" s="172"/>
      <c r="BP5" s="172"/>
      <c r="BQ5" s="172"/>
      <c r="BR5" s="173"/>
      <c r="BS5" s="86" t="s">
        <v>43</v>
      </c>
      <c r="BT5" s="86"/>
      <c r="BU5" s="86"/>
      <c r="BV5" s="86" t="s">
        <v>43</v>
      </c>
      <c r="BW5" s="86"/>
      <c r="BX5" s="86"/>
      <c r="BY5" s="86" t="s">
        <v>55</v>
      </c>
      <c r="BZ5" s="86"/>
      <c r="CA5" s="86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25">
      <c r="A8" s="20"/>
      <c r="B8" s="170" t="s">
        <v>64</v>
      </c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70"/>
      <c r="CI8" s="170"/>
      <c r="CJ8" s="170"/>
      <c r="CK8" s="170"/>
      <c r="CL8" s="170"/>
      <c r="CM8" s="170"/>
      <c r="CN8" s="170"/>
      <c r="CO8" s="170"/>
      <c r="CP8" s="170"/>
      <c r="CQ8" s="170"/>
      <c r="CR8" s="170"/>
      <c r="CS8" s="170"/>
      <c r="CT8" s="170"/>
      <c r="CU8" s="170"/>
      <c r="CV8" s="170"/>
      <c r="CW8" s="170"/>
      <c r="CX8" s="170"/>
      <c r="CY8" s="170"/>
      <c r="CZ8" s="170"/>
      <c r="DA8" s="170"/>
      <c r="DB8" s="170"/>
      <c r="DC8" s="170"/>
      <c r="DD8" s="170"/>
      <c r="DE8" s="170"/>
      <c r="DF8" s="170"/>
      <c r="DG8" s="170"/>
      <c r="DH8" s="170"/>
      <c r="DI8" s="170"/>
      <c r="DJ8" s="170"/>
      <c r="DK8" s="170"/>
      <c r="DL8" s="170"/>
      <c r="DM8" s="170"/>
      <c r="DN8" s="170"/>
      <c r="DO8" s="170"/>
      <c r="DP8" s="170"/>
      <c r="DQ8" s="170"/>
      <c r="DR8" s="20"/>
      <c r="DS8" s="40"/>
      <c r="DT8" s="40"/>
      <c r="DU8" s="40"/>
      <c r="DV8" s="40"/>
      <c r="DW8" s="40"/>
      <c r="DX8" s="40"/>
      <c r="DY8" s="40"/>
    </row>
    <row r="9" spans="1:129" ht="12.6" x14ac:dyDescent="0.25">
      <c r="A9" s="20"/>
      <c r="B9" s="170" t="s">
        <v>76</v>
      </c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70"/>
      <c r="AI9" s="170"/>
      <c r="AJ9" s="170"/>
      <c r="AK9" s="170"/>
      <c r="AL9" s="170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70"/>
      <c r="AY9" s="170"/>
      <c r="AZ9" s="170"/>
      <c r="BA9" s="170"/>
      <c r="BB9" s="170"/>
      <c r="BC9" s="170"/>
      <c r="BD9" s="170"/>
      <c r="BE9" s="170"/>
      <c r="BF9" s="170"/>
      <c r="BG9" s="170"/>
      <c r="BH9" s="170"/>
      <c r="BI9" s="170"/>
      <c r="BJ9" s="170"/>
      <c r="BK9" s="170"/>
      <c r="BL9" s="170"/>
      <c r="BM9" s="170"/>
      <c r="BN9" s="170"/>
      <c r="BO9" s="170"/>
      <c r="BP9" s="170"/>
      <c r="BQ9" s="170"/>
      <c r="BR9" s="170"/>
      <c r="BS9" s="170"/>
      <c r="BT9" s="170"/>
      <c r="BU9" s="170"/>
      <c r="BV9" s="170"/>
      <c r="BW9" s="170"/>
      <c r="BX9" s="170"/>
      <c r="BY9" s="170"/>
      <c r="BZ9" s="170"/>
      <c r="CA9" s="170"/>
      <c r="CB9" s="170"/>
      <c r="CC9" s="170"/>
      <c r="CD9" s="170"/>
      <c r="CE9" s="170"/>
      <c r="CF9" s="170"/>
      <c r="CG9" s="170"/>
      <c r="CH9" s="170"/>
      <c r="CI9" s="170"/>
      <c r="CJ9" s="170"/>
      <c r="CK9" s="170"/>
      <c r="CL9" s="170"/>
      <c r="CM9" s="170"/>
      <c r="CN9" s="170"/>
      <c r="CO9" s="170"/>
      <c r="CP9" s="170"/>
      <c r="CQ9" s="170"/>
      <c r="CR9" s="170"/>
      <c r="CS9" s="170"/>
      <c r="CT9" s="170"/>
      <c r="CU9" s="170"/>
      <c r="CV9" s="170"/>
      <c r="CW9" s="170"/>
      <c r="CX9" s="170"/>
      <c r="CY9" s="170"/>
      <c r="CZ9" s="170"/>
      <c r="DA9" s="170"/>
      <c r="DB9" s="170"/>
      <c r="DC9" s="170"/>
      <c r="DD9" s="170"/>
      <c r="DE9" s="170"/>
      <c r="DF9" s="170"/>
      <c r="DG9" s="170"/>
      <c r="DH9" s="170"/>
      <c r="DI9" s="170"/>
      <c r="DJ9" s="170"/>
      <c r="DK9" s="170"/>
      <c r="DL9" s="170"/>
      <c r="DM9" s="170"/>
      <c r="DN9" s="170"/>
      <c r="DO9" s="170"/>
      <c r="DP9" s="170"/>
      <c r="DQ9" s="170"/>
      <c r="DR9" s="20"/>
      <c r="DS9" s="40"/>
      <c r="DT9" s="40"/>
      <c r="DU9" s="40"/>
      <c r="DV9" s="40"/>
      <c r="DW9" s="40"/>
      <c r="DX9" s="40"/>
      <c r="DY9" s="40"/>
    </row>
    <row r="10" spans="1:129" ht="12.6" x14ac:dyDescent="0.25">
      <c r="A10" s="20"/>
      <c r="B10" s="170" t="s">
        <v>45</v>
      </c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170"/>
      <c r="BG10" s="170"/>
      <c r="BH10" s="170"/>
      <c r="BI10" s="170"/>
      <c r="BJ10" s="170"/>
      <c r="BK10" s="170"/>
      <c r="BL10" s="170"/>
      <c r="BM10" s="170"/>
      <c r="BN10" s="170"/>
      <c r="BO10" s="170"/>
      <c r="BP10" s="170"/>
      <c r="BQ10" s="170"/>
      <c r="BR10" s="170"/>
      <c r="BS10" s="170"/>
      <c r="BT10" s="170"/>
      <c r="BU10" s="170"/>
      <c r="BV10" s="170"/>
      <c r="BW10" s="170"/>
      <c r="BX10" s="170"/>
      <c r="BY10" s="170"/>
      <c r="BZ10" s="170"/>
      <c r="CA10" s="170"/>
      <c r="CB10" s="170"/>
      <c r="CC10" s="170"/>
      <c r="CD10" s="170"/>
      <c r="CE10" s="170"/>
      <c r="CF10" s="170"/>
      <c r="CG10" s="170"/>
      <c r="CH10" s="170"/>
      <c r="CI10" s="170"/>
      <c r="CJ10" s="170"/>
      <c r="CK10" s="170"/>
      <c r="CL10" s="170"/>
      <c r="CM10" s="170"/>
      <c r="CN10" s="170"/>
      <c r="CO10" s="170"/>
      <c r="CP10" s="170"/>
      <c r="CQ10" s="170"/>
      <c r="CR10" s="170"/>
      <c r="CS10" s="170"/>
      <c r="CT10" s="170"/>
      <c r="CU10" s="170"/>
      <c r="CV10" s="170"/>
      <c r="CW10" s="170"/>
      <c r="CX10" s="170"/>
      <c r="CY10" s="170"/>
      <c r="CZ10" s="170"/>
      <c r="DA10" s="170"/>
      <c r="DB10" s="170"/>
      <c r="DC10" s="170"/>
      <c r="DD10" s="170"/>
      <c r="DE10" s="170"/>
      <c r="DF10" s="170"/>
      <c r="DG10" s="170"/>
      <c r="DH10" s="170"/>
      <c r="DI10" s="170"/>
      <c r="DJ10" s="170"/>
      <c r="DK10" s="170"/>
      <c r="DL10" s="170"/>
      <c r="DM10" s="170"/>
      <c r="DN10" s="170"/>
      <c r="DO10" s="170"/>
      <c r="DP10" s="170"/>
      <c r="DQ10" s="170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2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2">
      <c r="A12" s="20"/>
      <c r="B12" s="168" t="s">
        <v>31</v>
      </c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57"/>
      <c r="BN12" s="57"/>
      <c r="BO12" s="57"/>
      <c r="BP12" s="177" t="s">
        <v>30</v>
      </c>
      <c r="BQ12" s="177"/>
      <c r="BR12" s="177"/>
      <c r="BS12" s="177"/>
      <c r="BT12" s="177"/>
      <c r="BU12" s="177"/>
      <c r="BV12" s="177"/>
      <c r="BW12" s="177"/>
      <c r="BX12" s="57"/>
      <c r="BY12" s="57"/>
      <c r="BZ12" s="57"/>
      <c r="CA12" s="168" t="s">
        <v>68</v>
      </c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2">
      <c r="A13" s="20"/>
      <c r="B13" s="178">
        <v>1</v>
      </c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58"/>
      <c r="BN13" s="58"/>
      <c r="BO13" s="58"/>
      <c r="BP13" s="181">
        <v>2</v>
      </c>
      <c r="BQ13" s="181"/>
      <c r="BR13" s="181"/>
      <c r="BS13" s="181"/>
      <c r="BT13" s="181"/>
      <c r="BU13" s="181"/>
      <c r="BV13" s="181"/>
      <c r="BW13" s="181"/>
      <c r="BX13" s="58"/>
      <c r="BY13" s="58"/>
      <c r="BZ13" s="58"/>
      <c r="CA13" s="178">
        <v>3</v>
      </c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2">
      <c r="A14" s="20"/>
      <c r="B14" s="179" t="s">
        <v>77</v>
      </c>
      <c r="C14" s="179"/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9"/>
      <c r="AA14" s="179"/>
      <c r="AB14" s="179"/>
      <c r="AC14" s="179"/>
      <c r="AD14" s="179"/>
      <c r="AE14" s="179"/>
      <c r="AF14" s="179"/>
      <c r="AG14" s="179"/>
      <c r="AH14" s="179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79"/>
      <c r="AW14" s="179"/>
      <c r="AX14" s="179"/>
      <c r="AY14" s="179"/>
      <c r="AZ14" s="179"/>
      <c r="BA14" s="179"/>
      <c r="BB14" s="179"/>
      <c r="BC14" s="179"/>
      <c r="BD14" s="179"/>
      <c r="BE14" s="179"/>
      <c r="BF14" s="179"/>
      <c r="BG14" s="179"/>
      <c r="BH14" s="179"/>
      <c r="BI14" s="179"/>
      <c r="BJ14" s="179"/>
      <c r="BK14" s="179"/>
      <c r="BL14" s="179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2">
      <c r="A15" s="20"/>
      <c r="B15" s="1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79"/>
      <c r="AX15" s="179"/>
      <c r="AY15" s="179"/>
      <c r="AZ15" s="179"/>
      <c r="BA15" s="179"/>
      <c r="BB15" s="179"/>
      <c r="BC15" s="179"/>
      <c r="BD15" s="179"/>
      <c r="BE15" s="179"/>
      <c r="BF15" s="179"/>
      <c r="BG15" s="179"/>
      <c r="BH15" s="179"/>
      <c r="BI15" s="179"/>
      <c r="BJ15" s="179"/>
      <c r="BK15" s="179"/>
      <c r="BL15" s="179"/>
      <c r="BM15" s="25"/>
      <c r="BN15" s="37"/>
      <c r="BO15" s="37"/>
      <c r="BP15" s="157" t="s">
        <v>47</v>
      </c>
      <c r="BQ15" s="157"/>
      <c r="BR15" s="157"/>
      <c r="BS15" s="157"/>
      <c r="BT15" s="157"/>
      <c r="BU15" s="157"/>
      <c r="BV15" s="157"/>
      <c r="BW15" s="157"/>
      <c r="BX15" s="37"/>
      <c r="BY15" s="37"/>
      <c r="BZ15" s="37"/>
      <c r="CA15" s="37"/>
      <c r="CB15" s="180" t="s">
        <v>44</v>
      </c>
      <c r="CC15" s="180"/>
      <c r="CD15" s="180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2">
      <c r="A16" s="20"/>
      <c r="B16" s="179"/>
      <c r="C16" s="179"/>
      <c r="D16" s="179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8" customHeight="1" x14ac:dyDescent="0.2">
      <c r="A17" s="20"/>
      <c r="B17" s="23" t="s">
        <v>65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157" t="s">
        <v>29</v>
      </c>
      <c r="BQ17" s="157"/>
      <c r="BR17" s="157"/>
      <c r="BS17" s="157"/>
      <c r="BT17" s="157"/>
      <c r="BU17" s="157"/>
      <c r="BV17" s="157"/>
      <c r="BW17" s="157"/>
      <c r="BX17" s="56"/>
      <c r="BY17" s="56"/>
      <c r="BZ17" s="56"/>
      <c r="CA17" s="56"/>
      <c r="CB17" s="158" t="s">
        <v>54</v>
      </c>
      <c r="CC17" s="158"/>
      <c r="CD17" s="158"/>
      <c r="CE17" s="158" t="s">
        <v>43</v>
      </c>
      <c r="CF17" s="158"/>
      <c r="CG17" s="158"/>
      <c r="CH17" s="158" t="s">
        <v>53</v>
      </c>
      <c r="CI17" s="158"/>
      <c r="CJ17" s="158"/>
      <c r="CK17" s="86" t="s">
        <v>55</v>
      </c>
      <c r="CL17" s="86"/>
      <c r="CM17" s="86"/>
      <c r="CN17" s="86" t="s">
        <v>152</v>
      </c>
      <c r="CO17" s="86"/>
      <c r="CP17" s="86"/>
      <c r="CQ17" s="86" t="s">
        <v>43</v>
      </c>
      <c r="CR17" s="86"/>
      <c r="CS17" s="86"/>
      <c r="CT17" s="86" t="s">
        <v>43</v>
      </c>
      <c r="CU17" s="86"/>
      <c r="CV17" s="86"/>
      <c r="CW17" s="86" t="s">
        <v>43</v>
      </c>
      <c r="CX17" s="86"/>
      <c r="CY17" s="86"/>
      <c r="CZ17" s="86"/>
      <c r="DA17" s="86"/>
      <c r="DB17" s="86"/>
      <c r="DC17" s="86"/>
      <c r="DD17" s="86"/>
      <c r="DE17" s="86"/>
      <c r="DF17" s="86"/>
      <c r="DG17" s="86"/>
      <c r="DH17" s="86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5.0999999999999996" customHeight="1" x14ac:dyDescent="0.2">
      <c r="A18" s="20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56"/>
      <c r="BN18" s="56"/>
      <c r="BO18" s="56"/>
      <c r="BP18" s="16"/>
      <c r="BQ18" s="16"/>
      <c r="BR18" s="16"/>
      <c r="BS18" s="16"/>
      <c r="BT18" s="16"/>
      <c r="BU18" s="16"/>
      <c r="BV18" s="16"/>
      <c r="BW18" s="16"/>
      <c r="BX18" s="56"/>
      <c r="BY18" s="56"/>
      <c r="BZ18" s="56"/>
      <c r="CA18" s="56"/>
      <c r="CB18" s="54"/>
      <c r="CC18" s="54"/>
      <c r="CD18" s="54"/>
      <c r="CE18" s="54"/>
      <c r="CF18" s="54"/>
      <c r="CG18" s="54"/>
      <c r="CH18" s="54"/>
      <c r="CI18" s="54"/>
      <c r="CJ18" s="54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.9" customHeight="1" x14ac:dyDescent="0.2">
      <c r="A19" s="20"/>
      <c r="B19" s="112" t="s">
        <v>66</v>
      </c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  <c r="BJ19" s="112"/>
      <c r="BK19" s="112"/>
      <c r="BL19" s="112"/>
      <c r="BM19" s="112"/>
      <c r="BN19" s="112"/>
      <c r="BO19" s="112"/>
      <c r="BP19" s="20"/>
      <c r="BQ19" s="20"/>
      <c r="BR19" s="20"/>
      <c r="BS19" s="20"/>
      <c r="BT19" s="20"/>
      <c r="BU19" s="20"/>
      <c r="BV19" s="20"/>
      <c r="BW19" s="20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9" customHeight="1" x14ac:dyDescent="0.2">
      <c r="A20" s="20"/>
      <c r="B20" s="153" t="s">
        <v>67</v>
      </c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  <c r="AH20" s="153"/>
      <c r="AI20" s="153"/>
      <c r="AJ20" s="153"/>
      <c r="AK20" s="153"/>
      <c r="AL20" s="153"/>
      <c r="AM20" s="153"/>
      <c r="AN20" s="153"/>
      <c r="AO20" s="153"/>
      <c r="AP20" s="153"/>
      <c r="AQ20" s="153"/>
      <c r="AR20" s="153"/>
      <c r="AS20" s="153"/>
      <c r="AT20" s="153"/>
      <c r="AU20" s="153"/>
      <c r="AV20" s="153"/>
      <c r="AW20" s="153"/>
      <c r="AX20" s="153"/>
      <c r="AY20" s="153"/>
      <c r="AZ20" s="153"/>
      <c r="BA20" s="153"/>
      <c r="BB20" s="153"/>
      <c r="BC20" s="153"/>
      <c r="BD20" s="153"/>
      <c r="BE20" s="153"/>
      <c r="BF20" s="153"/>
      <c r="BG20" s="153"/>
      <c r="BH20" s="153"/>
      <c r="BI20" s="153"/>
      <c r="BJ20" s="153"/>
      <c r="BK20" s="153"/>
      <c r="BL20" s="153"/>
      <c r="BM20" s="153"/>
      <c r="BN20" s="153"/>
      <c r="BO20" s="153"/>
      <c r="BP20" s="157" t="s">
        <v>32</v>
      </c>
      <c r="BQ20" s="157"/>
      <c r="BR20" s="157"/>
      <c r="BS20" s="157"/>
      <c r="BT20" s="157"/>
      <c r="BU20" s="157"/>
      <c r="BV20" s="157"/>
      <c r="BW20" s="157"/>
      <c r="BX20" s="56"/>
      <c r="BY20" s="56"/>
      <c r="BZ20" s="56"/>
      <c r="CA20" s="56"/>
      <c r="CB20" s="147" t="s">
        <v>55</v>
      </c>
      <c r="CC20" s="148"/>
      <c r="CD20" s="149"/>
      <c r="CE20" s="147" t="s">
        <v>154</v>
      </c>
      <c r="CF20" s="148"/>
      <c r="CG20" s="149"/>
      <c r="CH20" s="147" t="s">
        <v>164</v>
      </c>
      <c r="CI20" s="148"/>
      <c r="CJ20" s="149"/>
      <c r="CK20" s="147" t="s">
        <v>54</v>
      </c>
      <c r="CL20" s="148"/>
      <c r="CM20" s="149"/>
      <c r="CN20" s="147" t="s">
        <v>54</v>
      </c>
      <c r="CO20" s="148"/>
      <c r="CP20" s="149"/>
      <c r="CQ20" s="147" t="s">
        <v>169</v>
      </c>
      <c r="CR20" s="148"/>
      <c r="CS20" s="149"/>
      <c r="CT20" s="147" t="s">
        <v>169</v>
      </c>
      <c r="CU20" s="148"/>
      <c r="CV20" s="149"/>
      <c r="CW20" s="147" t="s">
        <v>169</v>
      </c>
      <c r="CX20" s="148"/>
      <c r="CY20" s="149"/>
      <c r="CZ20" s="147" t="s">
        <v>169</v>
      </c>
      <c r="DA20" s="148"/>
      <c r="DB20" s="149"/>
      <c r="DC20" s="147" t="s">
        <v>169</v>
      </c>
      <c r="DD20" s="148"/>
      <c r="DE20" s="149"/>
      <c r="DF20" s="147" t="s">
        <v>169</v>
      </c>
      <c r="DG20" s="148"/>
      <c r="DH20" s="149"/>
      <c r="DI20" s="147" t="s">
        <v>169</v>
      </c>
      <c r="DJ20" s="148"/>
      <c r="DK20" s="149"/>
      <c r="DL20" s="56"/>
      <c r="DM20" s="56"/>
      <c r="DN20" s="56"/>
      <c r="DO20" s="56"/>
      <c r="DP20" s="56"/>
      <c r="DQ20" s="56"/>
      <c r="DR20" s="20"/>
      <c r="DS20" s="40"/>
      <c r="DT20" s="40"/>
      <c r="DU20" s="40"/>
      <c r="DV20" s="40"/>
      <c r="DW20" s="40"/>
      <c r="DX20" s="40"/>
      <c r="DY20" s="40"/>
    </row>
    <row r="21" spans="1:129" ht="9" customHeight="1" x14ac:dyDescent="0.2">
      <c r="A21" s="20"/>
      <c r="B21" s="145" t="s">
        <v>126</v>
      </c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  <c r="AG21" s="145"/>
      <c r="AH21" s="145"/>
      <c r="AI21" s="145"/>
      <c r="AJ21" s="145"/>
      <c r="AK21" s="145"/>
      <c r="AL21" s="145"/>
      <c r="AM21" s="145"/>
      <c r="AN21" s="145"/>
      <c r="AO21" s="145"/>
      <c r="AP21" s="145"/>
      <c r="AQ21" s="145"/>
      <c r="AR21" s="145"/>
      <c r="AS21" s="145"/>
      <c r="AT21" s="145"/>
      <c r="AU21" s="145"/>
      <c r="AV21" s="145"/>
      <c r="AW21" s="145"/>
      <c r="AX21" s="145"/>
      <c r="AY21" s="145"/>
      <c r="AZ21" s="145"/>
      <c r="BA21" s="145"/>
      <c r="BB21" s="145"/>
      <c r="BC21" s="145"/>
      <c r="BD21" s="145"/>
      <c r="BE21" s="145"/>
      <c r="BF21" s="145"/>
      <c r="BG21" s="145"/>
      <c r="BH21" s="145"/>
      <c r="BI21" s="145"/>
      <c r="BJ21" s="145"/>
      <c r="BK21" s="145"/>
      <c r="BL21" s="145"/>
      <c r="BM21" s="145"/>
      <c r="BN21" s="145"/>
      <c r="BO21" s="145"/>
      <c r="BP21" s="157"/>
      <c r="BQ21" s="157"/>
      <c r="BR21" s="157"/>
      <c r="BS21" s="157"/>
      <c r="BT21" s="157"/>
      <c r="BU21" s="157"/>
      <c r="BV21" s="157"/>
      <c r="BW21" s="157"/>
      <c r="BX21" s="56"/>
      <c r="BY21" s="56"/>
      <c r="BZ21" s="56"/>
      <c r="CA21" s="56"/>
      <c r="CB21" s="150"/>
      <c r="CC21" s="151"/>
      <c r="CD21" s="152"/>
      <c r="CE21" s="150"/>
      <c r="CF21" s="151"/>
      <c r="CG21" s="152"/>
      <c r="CH21" s="150"/>
      <c r="CI21" s="151"/>
      <c r="CJ21" s="152"/>
      <c r="CK21" s="150"/>
      <c r="CL21" s="151"/>
      <c r="CM21" s="152"/>
      <c r="CN21" s="150"/>
      <c r="CO21" s="151"/>
      <c r="CP21" s="152"/>
      <c r="CQ21" s="150"/>
      <c r="CR21" s="151"/>
      <c r="CS21" s="152"/>
      <c r="CT21" s="150"/>
      <c r="CU21" s="151"/>
      <c r="CV21" s="152"/>
      <c r="CW21" s="150"/>
      <c r="CX21" s="151"/>
      <c r="CY21" s="152"/>
      <c r="CZ21" s="150"/>
      <c r="DA21" s="151"/>
      <c r="DB21" s="152"/>
      <c r="DC21" s="150"/>
      <c r="DD21" s="151"/>
      <c r="DE21" s="152"/>
      <c r="DF21" s="150"/>
      <c r="DG21" s="151"/>
      <c r="DH21" s="152"/>
      <c r="DI21" s="150"/>
      <c r="DJ21" s="151"/>
      <c r="DK21" s="152"/>
      <c r="DL21" s="56"/>
      <c r="DM21" s="56"/>
      <c r="DN21" s="56"/>
      <c r="DO21" s="56"/>
      <c r="DP21" s="56"/>
      <c r="DQ21" s="56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2">
      <c r="A22" s="20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20"/>
      <c r="BQ22" s="20"/>
      <c r="BR22" s="20"/>
      <c r="BS22" s="20"/>
      <c r="BT22" s="20"/>
      <c r="BU22" s="20"/>
      <c r="BV22" s="20"/>
      <c r="BW22" s="20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20"/>
      <c r="CL22" s="20"/>
      <c r="CM22" s="20"/>
      <c r="CN22" s="20"/>
      <c r="CO22" s="20"/>
      <c r="CP22" s="20"/>
      <c r="CQ22" s="20"/>
      <c r="CR22" s="20"/>
      <c r="CS22" s="20"/>
      <c r="CT22" s="20"/>
      <c r="CU22" s="20"/>
      <c r="CV22" s="20"/>
      <c r="CW22" s="20"/>
      <c r="CX22" s="20"/>
      <c r="CY22" s="20"/>
      <c r="CZ22" s="20"/>
      <c r="DA22" s="20"/>
      <c r="DB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8" customHeight="1" x14ac:dyDescent="0.2">
      <c r="A23" s="20"/>
      <c r="B23" s="23" t="s">
        <v>65</v>
      </c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59"/>
      <c r="BM23" s="56"/>
      <c r="BN23" s="56"/>
      <c r="BO23" s="56"/>
      <c r="BP23" s="157" t="s">
        <v>33</v>
      </c>
      <c r="BQ23" s="157"/>
      <c r="BR23" s="157"/>
      <c r="BS23" s="157"/>
      <c r="BT23" s="157"/>
      <c r="BU23" s="157"/>
      <c r="BV23" s="157"/>
      <c r="BW23" s="157"/>
      <c r="BX23" s="56"/>
      <c r="BY23" s="56"/>
      <c r="BZ23" s="56"/>
      <c r="CA23" s="56"/>
      <c r="CB23" s="158"/>
      <c r="CC23" s="158"/>
      <c r="CD23" s="158"/>
      <c r="CE23" s="158"/>
      <c r="CF23" s="158"/>
      <c r="CG23" s="158"/>
      <c r="CH23" s="158"/>
      <c r="CI23" s="158"/>
      <c r="CJ23" s="158"/>
      <c r="CK23" s="86"/>
      <c r="CL23" s="86"/>
      <c r="CM23" s="86"/>
      <c r="CN23" s="86"/>
      <c r="CO23" s="86"/>
      <c r="CP23" s="86"/>
      <c r="CQ23" s="86"/>
      <c r="CR23" s="86"/>
      <c r="CS23" s="86"/>
      <c r="CT23" s="86"/>
      <c r="CU23" s="86"/>
      <c r="CV23" s="86"/>
      <c r="CW23" s="86"/>
      <c r="CX23" s="86"/>
      <c r="CY23" s="86"/>
      <c r="CZ23" s="86"/>
      <c r="DA23" s="86"/>
      <c r="DB23" s="86"/>
      <c r="DC23" s="86"/>
      <c r="DD23" s="86"/>
      <c r="DE23" s="86"/>
      <c r="DF23" s="86"/>
      <c r="DG23" s="86"/>
      <c r="DH23" s="86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5.0999999999999996" customHeight="1" x14ac:dyDescent="0.2">
      <c r="A24" s="20"/>
      <c r="B24" s="20"/>
      <c r="C24" s="20"/>
      <c r="D24" s="20"/>
      <c r="E24" s="23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55"/>
      <c r="BC24" s="55"/>
      <c r="BD24" s="55"/>
      <c r="BE24" s="55"/>
      <c r="BF24" s="55"/>
      <c r="BG24" s="55"/>
      <c r="BH24" s="55"/>
      <c r="BI24" s="55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9.9" customHeight="1" x14ac:dyDescent="0.2">
      <c r="A25" s="20"/>
      <c r="B25" s="154" t="s">
        <v>66</v>
      </c>
      <c r="C25" s="154"/>
      <c r="D25" s="154"/>
      <c r="E25" s="154"/>
      <c r="F25" s="154"/>
      <c r="G25" s="154"/>
      <c r="H25" s="154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4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54"/>
      <c r="BA25" s="154"/>
      <c r="BB25" s="154"/>
      <c r="BC25" s="154"/>
      <c r="BD25" s="154"/>
      <c r="BE25" s="154"/>
      <c r="BF25" s="154"/>
      <c r="BG25" s="154"/>
      <c r="BH25" s="154"/>
      <c r="BI25" s="154"/>
      <c r="BJ25" s="154"/>
      <c r="BK25" s="154"/>
      <c r="BL25" s="154"/>
      <c r="BM25" s="154"/>
      <c r="BN25" s="154"/>
      <c r="BO25" s="154"/>
      <c r="BP25" s="37"/>
      <c r="BQ25" s="37"/>
      <c r="BR25" s="37"/>
      <c r="BS25" s="37"/>
      <c r="BT25" s="37"/>
      <c r="BU25" s="37"/>
      <c r="BV25" s="37"/>
      <c r="BW25" s="37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9.9" customHeight="1" x14ac:dyDescent="0.2">
      <c r="A26" s="20"/>
      <c r="B26" s="154" t="s">
        <v>69</v>
      </c>
      <c r="C26" s="154"/>
      <c r="D26" s="154"/>
      <c r="E26" s="154"/>
      <c r="F26" s="154"/>
      <c r="G26" s="154"/>
      <c r="H26" s="154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54"/>
      <c r="W26" s="154"/>
      <c r="X26" s="154"/>
      <c r="Y26" s="154"/>
      <c r="Z26" s="154"/>
      <c r="AA26" s="154"/>
      <c r="AB26" s="154"/>
      <c r="AC26" s="154"/>
      <c r="AD26" s="154"/>
      <c r="AE26" s="154"/>
      <c r="AF26" s="154"/>
      <c r="AG26" s="154"/>
      <c r="AH26" s="154"/>
      <c r="AI26" s="154"/>
      <c r="AJ26" s="154"/>
      <c r="AK26" s="154"/>
      <c r="AL26" s="154"/>
      <c r="AM26" s="154"/>
      <c r="AN26" s="154"/>
      <c r="AO26" s="154"/>
      <c r="AP26" s="154"/>
      <c r="AQ26" s="154"/>
      <c r="AR26" s="154"/>
      <c r="AS26" s="154"/>
      <c r="AT26" s="154"/>
      <c r="AU26" s="154"/>
      <c r="AV26" s="154"/>
      <c r="AW26" s="154"/>
      <c r="AX26" s="154"/>
      <c r="AY26" s="154"/>
      <c r="AZ26" s="154"/>
      <c r="BA26" s="154"/>
      <c r="BB26" s="154"/>
      <c r="BC26" s="154"/>
      <c r="BD26" s="154"/>
      <c r="BE26" s="154"/>
      <c r="BF26" s="154"/>
      <c r="BG26" s="154"/>
      <c r="BH26" s="154"/>
      <c r="BI26" s="154"/>
      <c r="BJ26" s="154"/>
      <c r="BK26" s="154"/>
      <c r="BL26" s="154"/>
      <c r="BM26" s="154"/>
      <c r="BN26" s="154"/>
      <c r="BO26" s="154"/>
      <c r="BP26" s="56"/>
      <c r="BQ26" s="56"/>
      <c r="BR26" s="56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  <c r="CE26" s="56"/>
      <c r="CF26" s="56"/>
      <c r="CG26" s="56"/>
      <c r="CH26" s="37"/>
      <c r="CI26" s="37"/>
      <c r="CJ26" s="37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40"/>
      <c r="DT26" s="40"/>
      <c r="DU26" s="40"/>
      <c r="DV26" s="40"/>
      <c r="DW26" s="40"/>
      <c r="DX26" s="40"/>
      <c r="DY26" s="40"/>
    </row>
    <row r="27" spans="1:129" ht="9" customHeight="1" x14ac:dyDescent="0.2">
      <c r="A27" s="20"/>
      <c r="B27" s="155" t="s">
        <v>127</v>
      </c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  <c r="AP27" s="155"/>
      <c r="AQ27" s="155"/>
      <c r="AR27" s="155"/>
      <c r="AS27" s="155"/>
      <c r="AT27" s="155"/>
      <c r="AU27" s="155"/>
      <c r="AV27" s="155"/>
      <c r="AW27" s="155"/>
      <c r="AX27" s="155"/>
      <c r="AY27" s="155"/>
      <c r="AZ27" s="155"/>
      <c r="BA27" s="155"/>
      <c r="BB27" s="155"/>
      <c r="BC27" s="155"/>
      <c r="BD27" s="155"/>
      <c r="BE27" s="155"/>
      <c r="BF27" s="155"/>
      <c r="BG27" s="155"/>
      <c r="BH27" s="155"/>
      <c r="BI27" s="155"/>
      <c r="BJ27" s="155"/>
      <c r="BK27" s="155"/>
      <c r="BL27" s="155"/>
      <c r="BM27" s="155"/>
      <c r="BN27" s="155"/>
      <c r="BO27" s="155"/>
      <c r="BP27" s="157" t="s">
        <v>37</v>
      </c>
      <c r="BQ27" s="157"/>
      <c r="BR27" s="157"/>
      <c r="BS27" s="157"/>
      <c r="BT27" s="157"/>
      <c r="BU27" s="157"/>
      <c r="BV27" s="157"/>
      <c r="BW27" s="157"/>
      <c r="BX27" s="56"/>
      <c r="BY27" s="56"/>
      <c r="BZ27" s="56"/>
      <c r="CA27" s="56"/>
      <c r="CB27" s="147" t="s">
        <v>54</v>
      </c>
      <c r="CC27" s="148"/>
      <c r="CD27" s="149"/>
      <c r="CE27" s="147" t="s">
        <v>44</v>
      </c>
      <c r="CF27" s="148"/>
      <c r="CG27" s="149"/>
      <c r="CH27" s="147" t="s">
        <v>164</v>
      </c>
      <c r="CI27" s="148"/>
      <c r="CJ27" s="149"/>
      <c r="CK27" s="147" t="s">
        <v>151</v>
      </c>
      <c r="CL27" s="148"/>
      <c r="CM27" s="149"/>
      <c r="CN27" s="147" t="s">
        <v>43</v>
      </c>
      <c r="CO27" s="148"/>
      <c r="CP27" s="149"/>
      <c r="CQ27" s="147" t="s">
        <v>169</v>
      </c>
      <c r="CR27" s="148"/>
      <c r="CS27" s="149"/>
      <c r="CT27" s="147" t="s">
        <v>169</v>
      </c>
      <c r="CU27" s="148"/>
      <c r="CV27" s="149"/>
      <c r="CW27" s="147" t="s">
        <v>169</v>
      </c>
      <c r="CX27" s="148"/>
      <c r="CY27" s="149"/>
      <c r="CZ27" s="147" t="s">
        <v>169</v>
      </c>
      <c r="DA27" s="148"/>
      <c r="DB27" s="149"/>
      <c r="DC27" s="147" t="s">
        <v>169</v>
      </c>
      <c r="DD27" s="148"/>
      <c r="DE27" s="149"/>
      <c r="DF27" s="147" t="s">
        <v>169</v>
      </c>
      <c r="DG27" s="148"/>
      <c r="DH27" s="149"/>
      <c r="DI27" s="147" t="s">
        <v>169</v>
      </c>
      <c r="DJ27" s="148"/>
      <c r="DK27" s="149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9" customHeight="1" x14ac:dyDescent="0.2">
      <c r="A28" s="20"/>
      <c r="B28" s="155" t="s">
        <v>128</v>
      </c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  <c r="AP28" s="155"/>
      <c r="AQ28" s="155"/>
      <c r="AR28" s="155"/>
      <c r="AS28" s="155"/>
      <c r="AT28" s="155"/>
      <c r="AU28" s="155"/>
      <c r="AV28" s="155"/>
      <c r="AW28" s="155"/>
      <c r="AX28" s="155"/>
      <c r="AY28" s="155"/>
      <c r="AZ28" s="155"/>
      <c r="BA28" s="155"/>
      <c r="BB28" s="155"/>
      <c r="BC28" s="155"/>
      <c r="BD28" s="155"/>
      <c r="BE28" s="155"/>
      <c r="BF28" s="155"/>
      <c r="BG28" s="155"/>
      <c r="BH28" s="155"/>
      <c r="BI28" s="155"/>
      <c r="BJ28" s="155"/>
      <c r="BK28" s="155"/>
      <c r="BL28" s="155"/>
      <c r="BM28" s="155"/>
      <c r="BN28" s="155"/>
      <c r="BO28" s="155"/>
      <c r="BP28" s="157"/>
      <c r="BQ28" s="157"/>
      <c r="BR28" s="157"/>
      <c r="BS28" s="157"/>
      <c r="BT28" s="157"/>
      <c r="BU28" s="157"/>
      <c r="BV28" s="157"/>
      <c r="BW28" s="157"/>
      <c r="BX28" s="56"/>
      <c r="BY28" s="56"/>
      <c r="BZ28" s="56"/>
      <c r="CA28" s="56"/>
      <c r="CB28" s="150"/>
      <c r="CC28" s="151"/>
      <c r="CD28" s="152"/>
      <c r="CE28" s="150"/>
      <c r="CF28" s="151"/>
      <c r="CG28" s="152"/>
      <c r="CH28" s="150"/>
      <c r="CI28" s="151"/>
      <c r="CJ28" s="152"/>
      <c r="CK28" s="150"/>
      <c r="CL28" s="151"/>
      <c r="CM28" s="152"/>
      <c r="CN28" s="150"/>
      <c r="CO28" s="151"/>
      <c r="CP28" s="152"/>
      <c r="CQ28" s="150"/>
      <c r="CR28" s="151"/>
      <c r="CS28" s="152"/>
      <c r="CT28" s="150"/>
      <c r="CU28" s="151"/>
      <c r="CV28" s="152"/>
      <c r="CW28" s="150"/>
      <c r="CX28" s="151"/>
      <c r="CY28" s="152"/>
      <c r="CZ28" s="150"/>
      <c r="DA28" s="151"/>
      <c r="DB28" s="152"/>
      <c r="DC28" s="150"/>
      <c r="DD28" s="151"/>
      <c r="DE28" s="152"/>
      <c r="DF28" s="150"/>
      <c r="DG28" s="151"/>
      <c r="DH28" s="152"/>
      <c r="DI28" s="150"/>
      <c r="DJ28" s="151"/>
      <c r="DK28" s="152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9.9" customHeight="1" x14ac:dyDescent="0.2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24.75" customHeight="1" x14ac:dyDescent="0.2">
      <c r="A30" s="20"/>
      <c r="B30" s="144" t="s">
        <v>129</v>
      </c>
      <c r="C30" s="144"/>
      <c r="D30" s="144"/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2"/>
      <c r="DK30" s="32"/>
      <c r="DL30" s="32"/>
      <c r="DM30" s="32"/>
      <c r="DN30" s="32"/>
      <c r="DO30" s="32"/>
      <c r="DP30" s="32"/>
      <c r="DQ30" s="32"/>
      <c r="DR30" s="20"/>
      <c r="DS30" s="40"/>
      <c r="DT30" s="40"/>
      <c r="DU30" s="40"/>
      <c r="DV30" s="40"/>
      <c r="DW30" s="40"/>
      <c r="DX30" s="40"/>
      <c r="DY30" s="40"/>
    </row>
    <row r="31" spans="1:129" ht="9" customHeight="1" x14ac:dyDescent="0.2">
      <c r="A31" s="20"/>
      <c r="B31" s="145" t="s">
        <v>130</v>
      </c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57" t="s">
        <v>38</v>
      </c>
      <c r="BQ31" s="157"/>
      <c r="BR31" s="157"/>
      <c r="BS31" s="157"/>
      <c r="BT31" s="157"/>
      <c r="BU31" s="157"/>
      <c r="BV31" s="157"/>
      <c r="BW31" s="157"/>
      <c r="BX31" s="56"/>
      <c r="BY31" s="56"/>
      <c r="BZ31" s="56"/>
      <c r="CA31" s="56"/>
      <c r="CB31" s="147"/>
      <c r="CC31" s="148"/>
      <c r="CD31" s="149"/>
      <c r="CE31" s="147"/>
      <c r="CF31" s="148"/>
      <c r="CG31" s="149"/>
      <c r="CH31" s="147"/>
      <c r="CI31" s="148"/>
      <c r="CJ31" s="149"/>
      <c r="CK31" s="147"/>
      <c r="CL31" s="148"/>
      <c r="CM31" s="149"/>
      <c r="CN31" s="147"/>
      <c r="CO31" s="148"/>
      <c r="CP31" s="149"/>
      <c r="CQ31" s="147"/>
      <c r="CR31" s="148"/>
      <c r="CS31" s="149"/>
      <c r="CT31" s="147"/>
      <c r="CU31" s="148"/>
      <c r="CV31" s="149"/>
      <c r="CW31" s="147"/>
      <c r="CX31" s="148"/>
      <c r="CY31" s="149"/>
      <c r="CZ31" s="147"/>
      <c r="DA31" s="148"/>
      <c r="DB31" s="149"/>
      <c r="DC31" s="147"/>
      <c r="DD31" s="148"/>
      <c r="DE31" s="149"/>
      <c r="DF31" s="147"/>
      <c r="DG31" s="148"/>
      <c r="DH31" s="149"/>
      <c r="DI31" s="147"/>
      <c r="DJ31" s="148"/>
      <c r="DK31" s="149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9" customHeight="1" x14ac:dyDescent="0.2">
      <c r="A32" s="20"/>
      <c r="B32" s="146" t="s">
        <v>131</v>
      </c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  <c r="BA32" s="146"/>
      <c r="BB32" s="146"/>
      <c r="BC32" s="146"/>
      <c r="BD32" s="146"/>
      <c r="BE32" s="146"/>
      <c r="BF32" s="146"/>
      <c r="BG32" s="146"/>
      <c r="BH32" s="146"/>
      <c r="BI32" s="146"/>
      <c r="BJ32" s="146"/>
      <c r="BK32" s="146"/>
      <c r="BL32" s="146"/>
      <c r="BM32" s="146"/>
      <c r="BN32" s="146"/>
      <c r="BO32" s="146"/>
      <c r="BP32" s="157"/>
      <c r="BQ32" s="157"/>
      <c r="BR32" s="157"/>
      <c r="BS32" s="157"/>
      <c r="BT32" s="157"/>
      <c r="BU32" s="157"/>
      <c r="BV32" s="157"/>
      <c r="BW32" s="157"/>
      <c r="BX32" s="56"/>
      <c r="BY32" s="56"/>
      <c r="BZ32" s="56"/>
      <c r="CA32" s="56"/>
      <c r="CB32" s="150"/>
      <c r="CC32" s="151"/>
      <c r="CD32" s="152"/>
      <c r="CE32" s="150"/>
      <c r="CF32" s="151"/>
      <c r="CG32" s="152"/>
      <c r="CH32" s="150"/>
      <c r="CI32" s="151"/>
      <c r="CJ32" s="152"/>
      <c r="CK32" s="150"/>
      <c r="CL32" s="151"/>
      <c r="CM32" s="152"/>
      <c r="CN32" s="150"/>
      <c r="CO32" s="151"/>
      <c r="CP32" s="152"/>
      <c r="CQ32" s="150"/>
      <c r="CR32" s="151"/>
      <c r="CS32" s="152"/>
      <c r="CT32" s="150"/>
      <c r="CU32" s="151"/>
      <c r="CV32" s="152"/>
      <c r="CW32" s="150"/>
      <c r="CX32" s="151"/>
      <c r="CY32" s="152"/>
      <c r="CZ32" s="150"/>
      <c r="DA32" s="151"/>
      <c r="DB32" s="152"/>
      <c r="DC32" s="150"/>
      <c r="DD32" s="151"/>
      <c r="DE32" s="152"/>
      <c r="DF32" s="150"/>
      <c r="DG32" s="151"/>
      <c r="DH32" s="152"/>
      <c r="DI32" s="150"/>
      <c r="DJ32" s="151"/>
      <c r="DK32" s="152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15" customHeight="1" x14ac:dyDescent="0.2">
      <c r="A33" s="20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36"/>
      <c r="BE33" s="36"/>
      <c r="BF33" s="36"/>
      <c r="BG33" s="36"/>
      <c r="BH33" s="36"/>
      <c r="BI33" s="36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  <c r="DG33" s="32"/>
      <c r="DH33" s="32"/>
      <c r="DI33" s="32"/>
      <c r="DJ33" s="32"/>
      <c r="DK33" s="32"/>
      <c r="DL33" s="32"/>
      <c r="DM33" s="32"/>
      <c r="DN33" s="32"/>
      <c r="DO33" s="32"/>
      <c r="DP33" s="32"/>
      <c r="DQ33" s="32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2">
      <c r="A34" s="20"/>
      <c r="B34" s="23" t="s">
        <v>65</v>
      </c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59"/>
      <c r="BM34" s="56"/>
      <c r="BN34" s="56"/>
      <c r="BO34" s="56"/>
      <c r="BP34" s="157" t="s">
        <v>39</v>
      </c>
      <c r="BQ34" s="157"/>
      <c r="BR34" s="157"/>
      <c r="BS34" s="157"/>
      <c r="BT34" s="157"/>
      <c r="BU34" s="157"/>
      <c r="BV34" s="157"/>
      <c r="BW34" s="157"/>
      <c r="BX34" s="56"/>
      <c r="BY34" s="56"/>
      <c r="BZ34" s="56"/>
      <c r="CA34" s="56"/>
      <c r="CB34" s="158"/>
      <c r="CC34" s="158"/>
      <c r="CD34" s="158"/>
      <c r="CE34" s="158"/>
      <c r="CF34" s="158"/>
      <c r="CG34" s="158"/>
      <c r="CH34" s="158"/>
      <c r="CI34" s="158"/>
      <c r="CJ34" s="158"/>
      <c r="CK34" s="86"/>
      <c r="CL34" s="86"/>
      <c r="CM34" s="86"/>
      <c r="CN34" s="86"/>
      <c r="CO34" s="86"/>
      <c r="CP34" s="86"/>
      <c r="CQ34" s="86"/>
      <c r="CR34" s="86"/>
      <c r="CS34" s="86"/>
      <c r="CT34" s="86"/>
      <c r="CU34" s="86"/>
      <c r="CV34" s="86"/>
      <c r="CW34" s="86"/>
      <c r="CX34" s="86"/>
      <c r="CY34" s="86"/>
      <c r="CZ34" s="86"/>
      <c r="DA34" s="86"/>
      <c r="DB34" s="86"/>
      <c r="DC34" s="86"/>
      <c r="DD34" s="86"/>
      <c r="DE34" s="86"/>
      <c r="DF34" s="86"/>
      <c r="DG34" s="86"/>
      <c r="DH34" s="86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2" customHeight="1" x14ac:dyDescent="0.2">
      <c r="A35" s="20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0"/>
      <c r="BE35" s="20"/>
      <c r="BF35" s="20"/>
      <c r="BG35" s="20"/>
      <c r="BH35" s="20"/>
      <c r="BI35" s="20"/>
      <c r="BJ35" s="37"/>
      <c r="BK35" s="37"/>
      <c r="BL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  <c r="BY35" s="37"/>
      <c r="BZ35" s="37"/>
      <c r="CA35" s="37"/>
      <c r="CB35" s="37"/>
      <c r="CC35" s="37"/>
      <c r="CD35" s="37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27.75" customHeight="1" x14ac:dyDescent="0.2">
      <c r="A36" s="20"/>
      <c r="B36" s="127" t="s">
        <v>132</v>
      </c>
      <c r="C36" s="127"/>
      <c r="D36" s="127"/>
      <c r="E36" s="127"/>
      <c r="F36" s="127"/>
      <c r="G36" s="127"/>
      <c r="H36" s="127"/>
      <c r="I36" s="127"/>
      <c r="J36" s="127"/>
      <c r="K36" s="127"/>
      <c r="L36" s="127"/>
      <c r="M36" s="127"/>
      <c r="N36" s="127"/>
      <c r="O36" s="127"/>
      <c r="P36" s="127"/>
      <c r="Q36" s="127"/>
      <c r="R36" s="127"/>
      <c r="S36" s="127"/>
      <c r="T36" s="127"/>
      <c r="U36" s="127"/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7"/>
      <c r="BD36" s="127"/>
      <c r="BE36" s="127"/>
      <c r="BF36" s="127"/>
      <c r="BG36" s="127"/>
      <c r="BH36" s="127"/>
      <c r="BI36" s="127"/>
      <c r="BJ36" s="127"/>
      <c r="BK36" s="127"/>
      <c r="BL36" s="127"/>
      <c r="BM36" s="127"/>
      <c r="BN36" s="127"/>
      <c r="BO36" s="127"/>
      <c r="BP36" s="37"/>
      <c r="BQ36" s="37"/>
      <c r="BR36" s="37"/>
      <c r="BS36" s="37"/>
      <c r="BT36" s="37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9" customHeight="1" x14ac:dyDescent="0.2">
      <c r="A37" s="20"/>
      <c r="B37" s="155" t="s">
        <v>133</v>
      </c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55"/>
      <c r="P37" s="155"/>
      <c r="Q37" s="155"/>
      <c r="R37" s="155"/>
      <c r="S37" s="155"/>
      <c r="T37" s="155"/>
      <c r="U37" s="155"/>
      <c r="V37" s="155"/>
      <c r="W37" s="155"/>
      <c r="X37" s="155"/>
      <c r="Y37" s="155"/>
      <c r="Z37" s="155"/>
      <c r="AA37" s="155"/>
      <c r="AB37" s="155"/>
      <c r="AC37" s="155"/>
      <c r="AD37" s="155"/>
      <c r="AE37" s="155"/>
      <c r="AF37" s="155"/>
      <c r="AG37" s="155"/>
      <c r="AH37" s="155"/>
      <c r="AI37" s="155"/>
      <c r="AJ37" s="155"/>
      <c r="AK37" s="155"/>
      <c r="AL37" s="155"/>
      <c r="AM37" s="155"/>
      <c r="AN37" s="155"/>
      <c r="AO37" s="155"/>
      <c r="AP37" s="155"/>
      <c r="AQ37" s="155"/>
      <c r="AR37" s="155"/>
      <c r="AS37" s="155"/>
      <c r="AT37" s="155"/>
      <c r="AU37" s="155"/>
      <c r="AV37" s="155"/>
      <c r="AW37" s="155"/>
      <c r="AX37" s="155"/>
      <c r="AY37" s="155"/>
      <c r="AZ37" s="155"/>
      <c r="BA37" s="155"/>
      <c r="BB37" s="155"/>
      <c r="BC37" s="155"/>
      <c r="BD37" s="155"/>
      <c r="BE37" s="155"/>
      <c r="BF37" s="155"/>
      <c r="BG37" s="155"/>
      <c r="BH37" s="155"/>
      <c r="BI37" s="155"/>
      <c r="BJ37" s="155"/>
      <c r="BK37" s="155"/>
      <c r="BL37" s="155"/>
      <c r="BM37" s="155"/>
      <c r="BN37" s="155"/>
      <c r="BO37" s="155"/>
      <c r="BP37" s="157" t="s">
        <v>40</v>
      </c>
      <c r="BQ37" s="157"/>
      <c r="BR37" s="157"/>
      <c r="BS37" s="157"/>
      <c r="BT37" s="157"/>
      <c r="BU37" s="157"/>
      <c r="BV37" s="157"/>
      <c r="BW37" s="157"/>
      <c r="BX37" s="56"/>
      <c r="BY37" s="56"/>
      <c r="BZ37" s="56"/>
      <c r="CA37" s="56"/>
      <c r="CB37" s="147" t="s">
        <v>53</v>
      </c>
      <c r="CC37" s="148"/>
      <c r="CD37" s="149"/>
      <c r="CE37" s="147" t="s">
        <v>153</v>
      </c>
      <c r="CF37" s="148"/>
      <c r="CG37" s="149"/>
      <c r="CH37" s="147" t="s">
        <v>152</v>
      </c>
      <c r="CI37" s="148"/>
      <c r="CJ37" s="149"/>
      <c r="CK37" s="147" t="s">
        <v>43</v>
      </c>
      <c r="CL37" s="148"/>
      <c r="CM37" s="149"/>
      <c r="CN37" s="147" t="s">
        <v>153</v>
      </c>
      <c r="CO37" s="148"/>
      <c r="CP37" s="149"/>
      <c r="CQ37" s="147" t="s">
        <v>169</v>
      </c>
      <c r="CR37" s="148"/>
      <c r="CS37" s="149"/>
      <c r="CT37" s="147" t="s">
        <v>169</v>
      </c>
      <c r="CU37" s="148"/>
      <c r="CV37" s="149"/>
      <c r="CW37" s="147" t="s">
        <v>169</v>
      </c>
      <c r="CX37" s="148"/>
      <c r="CY37" s="149"/>
      <c r="CZ37" s="147" t="s">
        <v>169</v>
      </c>
      <c r="DA37" s="148"/>
      <c r="DB37" s="149"/>
      <c r="DC37" s="147" t="s">
        <v>169</v>
      </c>
      <c r="DD37" s="148"/>
      <c r="DE37" s="149"/>
      <c r="DF37" s="147" t="s">
        <v>169</v>
      </c>
      <c r="DG37" s="148"/>
      <c r="DH37" s="149"/>
      <c r="DI37" s="147" t="s">
        <v>169</v>
      </c>
      <c r="DJ37" s="148"/>
      <c r="DK37" s="149"/>
      <c r="DL37" s="51"/>
      <c r="DM37" s="51"/>
      <c r="DN37" s="51"/>
      <c r="DO37" s="51"/>
      <c r="DP37" s="51"/>
      <c r="DQ37" s="51"/>
      <c r="DR37" s="20"/>
      <c r="DS37" s="40"/>
      <c r="DT37" s="40"/>
      <c r="DU37" s="40"/>
      <c r="DV37" s="40"/>
      <c r="DW37" s="40"/>
      <c r="DX37" s="40"/>
      <c r="DY37" s="40"/>
    </row>
    <row r="38" spans="1:129" ht="9" customHeight="1" x14ac:dyDescent="0.2">
      <c r="A38" s="20"/>
      <c r="B38" s="155" t="s">
        <v>134</v>
      </c>
      <c r="C38" s="155"/>
      <c r="D38" s="155"/>
      <c r="E38" s="155"/>
      <c r="F38" s="155"/>
      <c r="G38" s="155"/>
      <c r="H38" s="155"/>
      <c r="I38" s="155"/>
      <c r="J38" s="155"/>
      <c r="K38" s="155"/>
      <c r="L38" s="155"/>
      <c r="M38" s="155"/>
      <c r="N38" s="155"/>
      <c r="O38" s="155"/>
      <c r="P38" s="155"/>
      <c r="Q38" s="155"/>
      <c r="R38" s="155"/>
      <c r="S38" s="155"/>
      <c r="T38" s="155"/>
      <c r="U38" s="155"/>
      <c r="V38" s="155"/>
      <c r="W38" s="155"/>
      <c r="X38" s="155"/>
      <c r="Y38" s="155"/>
      <c r="Z38" s="155"/>
      <c r="AA38" s="155"/>
      <c r="AB38" s="155"/>
      <c r="AC38" s="155"/>
      <c r="AD38" s="155"/>
      <c r="AE38" s="155"/>
      <c r="AF38" s="155"/>
      <c r="AG38" s="155"/>
      <c r="AH38" s="155"/>
      <c r="AI38" s="155"/>
      <c r="AJ38" s="155"/>
      <c r="AK38" s="155"/>
      <c r="AL38" s="155"/>
      <c r="AM38" s="155"/>
      <c r="AN38" s="155"/>
      <c r="AO38" s="155"/>
      <c r="AP38" s="155"/>
      <c r="AQ38" s="155"/>
      <c r="AR38" s="155"/>
      <c r="AS38" s="155"/>
      <c r="AT38" s="155"/>
      <c r="AU38" s="155"/>
      <c r="AV38" s="155"/>
      <c r="AW38" s="155"/>
      <c r="AX38" s="155"/>
      <c r="AY38" s="155"/>
      <c r="AZ38" s="155"/>
      <c r="BA38" s="155"/>
      <c r="BB38" s="155"/>
      <c r="BC38" s="155"/>
      <c r="BD38" s="155"/>
      <c r="BE38" s="155"/>
      <c r="BF38" s="155"/>
      <c r="BG38" s="155"/>
      <c r="BH38" s="155"/>
      <c r="BI38" s="155"/>
      <c r="BJ38" s="155"/>
      <c r="BK38" s="155"/>
      <c r="BL38" s="155"/>
      <c r="BM38" s="155"/>
      <c r="BN38" s="155"/>
      <c r="BO38" s="155"/>
      <c r="BP38" s="157"/>
      <c r="BQ38" s="157"/>
      <c r="BR38" s="157"/>
      <c r="BS38" s="157"/>
      <c r="BT38" s="157"/>
      <c r="BU38" s="157"/>
      <c r="BV38" s="157"/>
      <c r="BW38" s="157"/>
      <c r="BX38" s="56"/>
      <c r="BY38" s="56"/>
      <c r="BZ38" s="56"/>
      <c r="CA38" s="56"/>
      <c r="CB38" s="150"/>
      <c r="CC38" s="151"/>
      <c r="CD38" s="152"/>
      <c r="CE38" s="150"/>
      <c r="CF38" s="151"/>
      <c r="CG38" s="152"/>
      <c r="CH38" s="150"/>
      <c r="CI38" s="151"/>
      <c r="CJ38" s="152"/>
      <c r="CK38" s="150"/>
      <c r="CL38" s="151"/>
      <c r="CM38" s="152"/>
      <c r="CN38" s="150"/>
      <c r="CO38" s="151"/>
      <c r="CP38" s="152"/>
      <c r="CQ38" s="150"/>
      <c r="CR38" s="151"/>
      <c r="CS38" s="152"/>
      <c r="CT38" s="150"/>
      <c r="CU38" s="151"/>
      <c r="CV38" s="152"/>
      <c r="CW38" s="150"/>
      <c r="CX38" s="151"/>
      <c r="CY38" s="152"/>
      <c r="CZ38" s="150"/>
      <c r="DA38" s="151"/>
      <c r="DB38" s="152"/>
      <c r="DC38" s="150"/>
      <c r="DD38" s="151"/>
      <c r="DE38" s="152"/>
      <c r="DF38" s="150"/>
      <c r="DG38" s="151"/>
      <c r="DH38" s="152"/>
      <c r="DI38" s="150"/>
      <c r="DJ38" s="151"/>
      <c r="DK38" s="152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9.9" customHeight="1" x14ac:dyDescent="0.2">
      <c r="A39" s="20"/>
      <c r="B39" s="155" t="s">
        <v>135</v>
      </c>
      <c r="C39" s="155"/>
      <c r="D39" s="155"/>
      <c r="E39" s="155"/>
      <c r="F39" s="155"/>
      <c r="G39" s="155"/>
      <c r="H39" s="155"/>
      <c r="I39" s="155"/>
      <c r="J39" s="155"/>
      <c r="K39" s="155"/>
      <c r="L39" s="155"/>
      <c r="M39" s="155"/>
      <c r="N39" s="155"/>
      <c r="O39" s="155"/>
      <c r="P39" s="155"/>
      <c r="Q39" s="155"/>
      <c r="R39" s="155"/>
      <c r="S39" s="155"/>
      <c r="T39" s="155"/>
      <c r="U39" s="155"/>
      <c r="V39" s="155"/>
      <c r="W39" s="155"/>
      <c r="X39" s="155"/>
      <c r="Y39" s="155"/>
      <c r="Z39" s="155"/>
      <c r="AA39" s="155"/>
      <c r="AB39" s="155"/>
      <c r="AC39" s="155"/>
      <c r="AD39" s="155"/>
      <c r="AE39" s="155"/>
      <c r="AF39" s="155"/>
      <c r="AG39" s="155"/>
      <c r="AH39" s="155"/>
      <c r="AI39" s="155"/>
      <c r="AJ39" s="155"/>
      <c r="AK39" s="155"/>
      <c r="AL39" s="155"/>
      <c r="AM39" s="155"/>
      <c r="AN39" s="155"/>
      <c r="AO39" s="155"/>
      <c r="AP39" s="155"/>
      <c r="AQ39" s="155"/>
      <c r="AR39" s="155"/>
      <c r="AS39" s="155"/>
      <c r="AT39" s="155"/>
      <c r="AU39" s="155"/>
      <c r="AV39" s="155"/>
      <c r="AW39" s="155"/>
      <c r="AX39" s="155"/>
      <c r="AY39" s="155"/>
      <c r="AZ39" s="155"/>
      <c r="BA39" s="155"/>
      <c r="BB39" s="155"/>
      <c r="BC39" s="155"/>
      <c r="BD39" s="155"/>
      <c r="BE39" s="155"/>
      <c r="BF39" s="155"/>
      <c r="BG39" s="155"/>
      <c r="BH39" s="155"/>
      <c r="BI39" s="155"/>
      <c r="BJ39" s="155"/>
      <c r="BK39" s="155"/>
      <c r="BL39" s="155"/>
      <c r="BM39" s="155"/>
      <c r="BN39" s="155"/>
      <c r="BO39" s="155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  <c r="DG39" s="32"/>
      <c r="DH39" s="32"/>
      <c r="DI39" s="32"/>
      <c r="DJ39" s="32"/>
      <c r="DK39" s="32"/>
      <c r="DL39" s="32"/>
      <c r="DM39" s="32"/>
      <c r="DN39" s="32"/>
      <c r="DO39" s="32"/>
      <c r="DP39" s="32"/>
      <c r="DQ39" s="32"/>
      <c r="DR39" s="20"/>
      <c r="DS39" s="40"/>
      <c r="DT39" s="40"/>
      <c r="DU39" s="40"/>
      <c r="DV39" s="40"/>
      <c r="DW39" s="40"/>
      <c r="DX39" s="40"/>
      <c r="DY39" s="40"/>
    </row>
    <row r="40" spans="1:129" ht="15" customHeight="1" x14ac:dyDescent="0.2">
      <c r="A40" s="20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55"/>
      <c r="BC40" s="55"/>
      <c r="BD40" s="55"/>
      <c r="BE40" s="55"/>
      <c r="BF40" s="55"/>
      <c r="BG40" s="55"/>
      <c r="BH40" s="55"/>
      <c r="BI40" s="55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37"/>
      <c r="CI40" s="37"/>
      <c r="CJ40" s="37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25.5" customHeight="1" x14ac:dyDescent="0.2">
      <c r="A41" s="20"/>
      <c r="B41" s="144" t="s">
        <v>136</v>
      </c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40"/>
      <c r="DT41" s="40"/>
      <c r="DU41" s="40"/>
      <c r="DV41" s="40"/>
      <c r="DW41" s="40"/>
      <c r="DX41" s="40"/>
      <c r="DY41" s="40"/>
    </row>
    <row r="42" spans="1:129" ht="9" customHeight="1" x14ac:dyDescent="0.2">
      <c r="A42" s="20"/>
      <c r="B42" s="145" t="s">
        <v>137</v>
      </c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  <c r="AH42" s="145"/>
      <c r="AI42" s="145"/>
      <c r="AJ42" s="145"/>
      <c r="AK42" s="145"/>
      <c r="AL42" s="145"/>
      <c r="AM42" s="145"/>
      <c r="AN42" s="145"/>
      <c r="AO42" s="145"/>
      <c r="AP42" s="145"/>
      <c r="AQ42" s="145"/>
      <c r="AR42" s="145"/>
      <c r="AS42" s="145"/>
      <c r="AT42" s="145"/>
      <c r="AU42" s="145"/>
      <c r="AV42" s="145"/>
      <c r="AW42" s="145"/>
      <c r="AX42" s="145"/>
      <c r="AY42" s="145"/>
      <c r="AZ42" s="145"/>
      <c r="BA42" s="145"/>
      <c r="BB42" s="145"/>
      <c r="BC42" s="145"/>
      <c r="BD42" s="145"/>
      <c r="BE42" s="145"/>
      <c r="BF42" s="145"/>
      <c r="BG42" s="145"/>
      <c r="BH42" s="145"/>
      <c r="BI42" s="145"/>
      <c r="BJ42" s="145"/>
      <c r="BK42" s="145"/>
      <c r="BL42" s="145"/>
      <c r="BM42" s="145"/>
      <c r="BN42" s="145"/>
      <c r="BO42" s="145"/>
      <c r="BP42" s="157" t="s">
        <v>41</v>
      </c>
      <c r="BQ42" s="157"/>
      <c r="BR42" s="157"/>
      <c r="BS42" s="157"/>
      <c r="BT42" s="157"/>
      <c r="BU42" s="157"/>
      <c r="BV42" s="157"/>
      <c r="BW42" s="157"/>
      <c r="BX42" s="56"/>
      <c r="BY42" s="56"/>
      <c r="BZ42" s="56"/>
      <c r="CA42" s="56"/>
      <c r="CB42" s="147"/>
      <c r="CC42" s="148"/>
      <c r="CD42" s="149"/>
      <c r="CE42" s="147"/>
      <c r="CF42" s="148"/>
      <c r="CG42" s="149"/>
      <c r="CH42" s="147"/>
      <c r="CI42" s="148"/>
      <c r="CJ42" s="149"/>
      <c r="CK42" s="147"/>
      <c r="CL42" s="148"/>
      <c r="CM42" s="149"/>
      <c r="CN42" s="147"/>
      <c r="CO42" s="148"/>
      <c r="CP42" s="149"/>
      <c r="CQ42" s="147"/>
      <c r="CR42" s="148"/>
      <c r="CS42" s="149"/>
      <c r="CT42" s="147"/>
      <c r="CU42" s="148"/>
      <c r="CV42" s="149"/>
      <c r="CW42" s="147"/>
      <c r="CX42" s="148"/>
      <c r="CY42" s="149"/>
      <c r="CZ42" s="147"/>
      <c r="DA42" s="148"/>
      <c r="DB42" s="149"/>
      <c r="DC42" s="147"/>
      <c r="DD42" s="148"/>
      <c r="DE42" s="149"/>
      <c r="DF42" s="147"/>
      <c r="DG42" s="148"/>
      <c r="DH42" s="149"/>
      <c r="DI42" s="147"/>
      <c r="DJ42" s="148"/>
      <c r="DK42" s="149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9" customHeight="1" x14ac:dyDescent="0.2">
      <c r="A43" s="20"/>
      <c r="B43" s="146" t="s">
        <v>138</v>
      </c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  <c r="BA43" s="146"/>
      <c r="BB43" s="146"/>
      <c r="BC43" s="146"/>
      <c r="BD43" s="146"/>
      <c r="BE43" s="146"/>
      <c r="BF43" s="146"/>
      <c r="BG43" s="146"/>
      <c r="BH43" s="146"/>
      <c r="BI43" s="146"/>
      <c r="BJ43" s="146"/>
      <c r="BK43" s="146"/>
      <c r="BL43" s="146"/>
      <c r="BM43" s="146"/>
      <c r="BN43" s="146"/>
      <c r="BO43" s="146"/>
      <c r="BP43" s="157"/>
      <c r="BQ43" s="157"/>
      <c r="BR43" s="157"/>
      <c r="BS43" s="157"/>
      <c r="BT43" s="157"/>
      <c r="BU43" s="157"/>
      <c r="BV43" s="157"/>
      <c r="BW43" s="157"/>
      <c r="BX43" s="56"/>
      <c r="BY43" s="56"/>
      <c r="BZ43" s="56"/>
      <c r="CA43" s="56"/>
      <c r="CB43" s="150"/>
      <c r="CC43" s="151"/>
      <c r="CD43" s="152"/>
      <c r="CE43" s="150"/>
      <c r="CF43" s="151"/>
      <c r="CG43" s="152"/>
      <c r="CH43" s="150"/>
      <c r="CI43" s="151"/>
      <c r="CJ43" s="152"/>
      <c r="CK43" s="150"/>
      <c r="CL43" s="151"/>
      <c r="CM43" s="152"/>
      <c r="CN43" s="150"/>
      <c r="CO43" s="151"/>
      <c r="CP43" s="152"/>
      <c r="CQ43" s="150"/>
      <c r="CR43" s="151"/>
      <c r="CS43" s="152"/>
      <c r="CT43" s="150"/>
      <c r="CU43" s="151"/>
      <c r="CV43" s="152"/>
      <c r="CW43" s="150"/>
      <c r="CX43" s="151"/>
      <c r="CY43" s="152"/>
      <c r="CZ43" s="150"/>
      <c r="DA43" s="151"/>
      <c r="DB43" s="152"/>
      <c r="DC43" s="150"/>
      <c r="DD43" s="151"/>
      <c r="DE43" s="152"/>
      <c r="DF43" s="150"/>
      <c r="DG43" s="151"/>
      <c r="DH43" s="152"/>
      <c r="DI43" s="150"/>
      <c r="DJ43" s="151"/>
      <c r="DK43" s="152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15" customHeight="1" x14ac:dyDescent="0.2">
      <c r="A44" s="20"/>
      <c r="B44" s="66" t="s">
        <v>139</v>
      </c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7"/>
      <c r="AN44" s="67"/>
      <c r="AO44" s="67"/>
      <c r="AP44" s="67"/>
      <c r="AQ44" s="67"/>
      <c r="AR44" s="67"/>
      <c r="AS44" s="67"/>
      <c r="AT44" s="67"/>
      <c r="AU44" s="67"/>
      <c r="AV44" s="67"/>
      <c r="AW44" s="67"/>
      <c r="AX44" s="67"/>
      <c r="AY44" s="67"/>
      <c r="AZ44" s="67"/>
      <c r="BA44" s="67"/>
      <c r="BB44" s="67"/>
      <c r="BC44" s="67"/>
      <c r="BD44" s="67"/>
      <c r="BE44" s="67"/>
      <c r="BF44" s="67"/>
      <c r="BG44" s="67"/>
      <c r="BH44" s="67"/>
      <c r="BI44" s="67"/>
      <c r="BJ44" s="67"/>
      <c r="BK44" s="67"/>
      <c r="BL44" s="67"/>
      <c r="BM44" s="67"/>
      <c r="BN44" s="67"/>
      <c r="BO44" s="67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40"/>
      <c r="DT44" s="40"/>
      <c r="DU44" s="40"/>
      <c r="DV44" s="40"/>
      <c r="DW44" s="40"/>
      <c r="DX44" s="40"/>
      <c r="DY44" s="40"/>
    </row>
    <row r="45" spans="1:129" ht="18" customHeight="1" x14ac:dyDescent="0.2">
      <c r="A45" s="20"/>
      <c r="B45" s="23" t="s">
        <v>65</v>
      </c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59"/>
      <c r="BM45" s="56"/>
      <c r="BN45" s="56"/>
      <c r="BO45" s="56"/>
      <c r="BP45" s="157" t="s">
        <v>42</v>
      </c>
      <c r="BQ45" s="157"/>
      <c r="BR45" s="157"/>
      <c r="BS45" s="157"/>
      <c r="BT45" s="157"/>
      <c r="BU45" s="157"/>
      <c r="BV45" s="157"/>
      <c r="BW45" s="157"/>
      <c r="BX45" s="56"/>
      <c r="BY45" s="56"/>
      <c r="BZ45" s="56"/>
      <c r="CA45" s="56"/>
      <c r="CB45" s="158"/>
      <c r="CC45" s="158"/>
      <c r="CD45" s="158"/>
      <c r="CE45" s="158"/>
      <c r="CF45" s="158"/>
      <c r="CG45" s="158"/>
      <c r="CH45" s="158"/>
      <c r="CI45" s="158"/>
      <c r="CJ45" s="158"/>
      <c r="CK45" s="86"/>
      <c r="CL45" s="86"/>
      <c r="CM45" s="86"/>
      <c r="CN45" s="86"/>
      <c r="CO45" s="86"/>
      <c r="CP45" s="86"/>
      <c r="CQ45" s="86"/>
      <c r="CR45" s="86"/>
      <c r="CS45" s="86"/>
      <c r="CT45" s="86"/>
      <c r="CU45" s="86"/>
      <c r="CV45" s="86"/>
      <c r="CW45" s="86"/>
      <c r="CX45" s="86"/>
      <c r="CY45" s="86"/>
      <c r="CZ45" s="86"/>
      <c r="DA45" s="86"/>
      <c r="DB45" s="86"/>
      <c r="DC45" s="86"/>
      <c r="DD45" s="86"/>
      <c r="DE45" s="86"/>
      <c r="DF45" s="86"/>
      <c r="DG45" s="86"/>
      <c r="DH45" s="86"/>
      <c r="DI45" s="15"/>
      <c r="DJ45" s="15"/>
      <c r="DK45" s="15"/>
      <c r="DL45" s="15"/>
      <c r="DM45" s="15"/>
      <c r="DN45" s="15"/>
      <c r="DO45" s="15"/>
      <c r="DP45" s="15"/>
      <c r="DQ45" s="15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2">
      <c r="A46" s="20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  <c r="DL46" s="15"/>
      <c r="DM46" s="15"/>
      <c r="DN46" s="15"/>
      <c r="DO46" s="15"/>
      <c r="DP46" s="15"/>
      <c r="DQ46" s="15"/>
      <c r="DR46" s="20"/>
      <c r="DS46" s="40"/>
      <c r="DT46" s="40"/>
      <c r="DU46" s="40"/>
      <c r="DV46" s="40"/>
      <c r="DW46" s="40"/>
      <c r="DX46" s="40"/>
      <c r="DY46" s="40"/>
    </row>
    <row r="47" spans="1:129" ht="9.9" customHeight="1" x14ac:dyDescent="0.2">
      <c r="A47" s="20"/>
      <c r="B47" s="156" t="s">
        <v>70</v>
      </c>
      <c r="C47" s="156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156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2">
      <c r="A48" s="20"/>
      <c r="B48" s="156" t="s">
        <v>71</v>
      </c>
      <c r="C48" s="156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7" t="s">
        <v>72</v>
      </c>
      <c r="BQ48" s="157"/>
      <c r="BR48" s="157"/>
      <c r="BS48" s="157"/>
      <c r="BT48" s="157"/>
      <c r="BU48" s="157"/>
      <c r="BV48" s="157"/>
      <c r="BW48" s="157"/>
      <c r="BX48" s="56"/>
      <c r="BY48" s="56"/>
      <c r="BZ48" s="56"/>
      <c r="CA48" s="56"/>
      <c r="CB48" s="147" t="s">
        <v>53</v>
      </c>
      <c r="CC48" s="148"/>
      <c r="CD48" s="149"/>
      <c r="CE48" s="147" t="s">
        <v>151</v>
      </c>
      <c r="CF48" s="148"/>
      <c r="CG48" s="149"/>
      <c r="CH48" s="147" t="s">
        <v>55</v>
      </c>
      <c r="CI48" s="148"/>
      <c r="CJ48" s="149"/>
      <c r="CK48" s="147" t="s">
        <v>153</v>
      </c>
      <c r="CL48" s="148"/>
      <c r="CM48" s="149"/>
      <c r="CN48" s="147" t="s">
        <v>151</v>
      </c>
      <c r="CO48" s="148"/>
      <c r="CP48" s="149"/>
      <c r="CQ48" s="147" t="s">
        <v>169</v>
      </c>
      <c r="CR48" s="148"/>
      <c r="CS48" s="149"/>
      <c r="CT48" s="147" t="s">
        <v>169</v>
      </c>
      <c r="CU48" s="148"/>
      <c r="CV48" s="149"/>
      <c r="CW48" s="147" t="s">
        <v>169</v>
      </c>
      <c r="CX48" s="148"/>
      <c r="CY48" s="149"/>
      <c r="CZ48" s="147" t="s">
        <v>169</v>
      </c>
      <c r="DA48" s="148"/>
      <c r="DB48" s="149"/>
      <c r="DC48" s="147" t="s">
        <v>169</v>
      </c>
      <c r="DD48" s="148"/>
      <c r="DE48" s="149"/>
      <c r="DF48" s="147" t="s">
        <v>169</v>
      </c>
      <c r="DG48" s="148"/>
      <c r="DH48" s="149"/>
      <c r="DI48" s="147" t="s">
        <v>169</v>
      </c>
      <c r="DJ48" s="148"/>
      <c r="DK48" s="149"/>
      <c r="DL48" s="15"/>
      <c r="DM48" s="15"/>
      <c r="DN48" s="15"/>
      <c r="DO48" s="15"/>
      <c r="DP48" s="15"/>
      <c r="DQ48" s="15"/>
      <c r="DR48" s="20"/>
      <c r="DS48" s="40"/>
      <c r="DT48" s="40"/>
      <c r="DU48" s="40"/>
      <c r="DV48" s="40"/>
      <c r="DW48" s="40"/>
      <c r="DX48" s="40"/>
      <c r="DY48" s="40"/>
    </row>
    <row r="49" spans="1:129" ht="9" customHeight="1" x14ac:dyDescent="0.25">
      <c r="A49" s="20"/>
      <c r="B49" s="142" t="s">
        <v>142</v>
      </c>
      <c r="C49" s="142"/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57"/>
      <c r="BQ49" s="157"/>
      <c r="BR49" s="157"/>
      <c r="BS49" s="157"/>
      <c r="BT49" s="157"/>
      <c r="BU49" s="157"/>
      <c r="BV49" s="157"/>
      <c r="BW49" s="157"/>
      <c r="BX49" s="56"/>
      <c r="BY49" s="56"/>
      <c r="BZ49" s="56"/>
      <c r="CA49" s="56"/>
      <c r="CB49" s="150"/>
      <c r="CC49" s="151"/>
      <c r="CD49" s="152"/>
      <c r="CE49" s="150"/>
      <c r="CF49" s="151"/>
      <c r="CG49" s="152"/>
      <c r="CH49" s="150"/>
      <c r="CI49" s="151"/>
      <c r="CJ49" s="152"/>
      <c r="CK49" s="150"/>
      <c r="CL49" s="151"/>
      <c r="CM49" s="152"/>
      <c r="CN49" s="150"/>
      <c r="CO49" s="151"/>
      <c r="CP49" s="152"/>
      <c r="CQ49" s="150"/>
      <c r="CR49" s="151"/>
      <c r="CS49" s="152"/>
      <c r="CT49" s="150"/>
      <c r="CU49" s="151"/>
      <c r="CV49" s="152"/>
      <c r="CW49" s="150"/>
      <c r="CX49" s="151"/>
      <c r="CY49" s="152"/>
      <c r="CZ49" s="150"/>
      <c r="DA49" s="151"/>
      <c r="DB49" s="152"/>
      <c r="DC49" s="150"/>
      <c r="DD49" s="151"/>
      <c r="DE49" s="152"/>
      <c r="DF49" s="150"/>
      <c r="DG49" s="151"/>
      <c r="DH49" s="152"/>
      <c r="DI49" s="150"/>
      <c r="DJ49" s="151"/>
      <c r="DK49" s="152"/>
      <c r="DL49" s="6"/>
      <c r="DM49" s="6"/>
      <c r="DN49" s="6"/>
      <c r="DO49" s="33"/>
      <c r="DP49" s="33"/>
      <c r="DQ49" s="33"/>
      <c r="DR49" s="20"/>
      <c r="DS49" s="40"/>
      <c r="DT49" s="40"/>
      <c r="DU49" s="40"/>
      <c r="DV49" s="40"/>
      <c r="DW49" s="40"/>
      <c r="DX49" s="40"/>
      <c r="DY49" s="40"/>
    </row>
    <row r="50" spans="1:129" ht="9.9" customHeight="1" x14ac:dyDescent="0.25">
      <c r="A50" s="20"/>
      <c r="B50" s="142" t="s">
        <v>140</v>
      </c>
      <c r="C50" s="142"/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33"/>
      <c r="DP50" s="33"/>
      <c r="DQ50" s="33"/>
      <c r="DR50" s="20"/>
      <c r="DS50" s="40"/>
      <c r="DT50" s="40"/>
      <c r="DU50" s="40"/>
      <c r="DV50" s="40"/>
      <c r="DW50" s="40"/>
      <c r="DX50" s="40"/>
      <c r="DY50" s="40"/>
    </row>
    <row r="51" spans="1:129" ht="21" customHeight="1" x14ac:dyDescent="0.25">
      <c r="A51" s="20"/>
      <c r="B51" s="143" t="s">
        <v>141</v>
      </c>
      <c r="C51" s="143"/>
      <c r="D51" s="143"/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  <c r="W51" s="143"/>
      <c r="X51" s="143"/>
      <c r="Y51" s="143"/>
      <c r="Z51" s="143"/>
      <c r="AA51" s="143"/>
      <c r="AB51" s="143"/>
      <c r="AC51" s="143"/>
      <c r="AD51" s="143"/>
      <c r="AE51" s="143"/>
      <c r="AF51" s="143"/>
      <c r="AG51" s="143"/>
      <c r="AH51" s="143"/>
      <c r="AI51" s="143"/>
      <c r="AJ51" s="143"/>
      <c r="AK51" s="143"/>
      <c r="AL51" s="143"/>
      <c r="AM51" s="143"/>
      <c r="AN51" s="143"/>
      <c r="AO51" s="143"/>
      <c r="AP51" s="143"/>
      <c r="AQ51" s="143"/>
      <c r="AR51" s="143"/>
      <c r="AS51" s="143"/>
      <c r="AT51" s="143"/>
      <c r="AU51" s="143"/>
      <c r="AV51" s="143"/>
      <c r="AW51" s="143"/>
      <c r="AX51" s="143"/>
      <c r="AY51" s="143"/>
      <c r="AZ51" s="143"/>
      <c r="BA51" s="143"/>
      <c r="BB51" s="143"/>
      <c r="BC51" s="143"/>
      <c r="BD51" s="143"/>
      <c r="BE51" s="143"/>
      <c r="BF51" s="143"/>
      <c r="BG51" s="143"/>
      <c r="BH51" s="143"/>
      <c r="BI51" s="143"/>
      <c r="BJ51" s="143"/>
      <c r="BK51" s="143"/>
      <c r="BL51" s="143"/>
      <c r="BM51" s="143"/>
      <c r="BN51" s="143"/>
      <c r="BO51" s="143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33"/>
      <c r="DP51" s="33"/>
      <c r="DQ51" s="33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25">
      <c r="A52" s="20"/>
      <c r="B52" s="60"/>
      <c r="C52" s="60"/>
      <c r="D52" s="33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33"/>
      <c r="DP52" s="33"/>
      <c r="DQ52" s="33"/>
      <c r="DR52" s="20"/>
      <c r="DS52" s="40"/>
      <c r="DT52" s="40"/>
      <c r="DU52" s="40"/>
      <c r="DV52" s="40"/>
      <c r="DW52" s="40"/>
      <c r="DX52" s="40"/>
      <c r="DY52" s="40"/>
    </row>
    <row r="53" spans="1:129" ht="23.25" customHeight="1" x14ac:dyDescent="0.25">
      <c r="A53" s="20"/>
      <c r="B53" s="144" t="s">
        <v>143</v>
      </c>
      <c r="C53" s="144"/>
      <c r="D53" s="144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  <c r="W53" s="144"/>
      <c r="X53" s="144"/>
      <c r="Y53" s="144"/>
      <c r="Z53" s="144"/>
      <c r="AA53" s="144"/>
      <c r="AB53" s="144"/>
      <c r="AC53" s="144"/>
      <c r="AD53" s="144"/>
      <c r="AE53" s="144"/>
      <c r="AF53" s="144"/>
      <c r="AG53" s="144"/>
      <c r="AH53" s="144"/>
      <c r="AI53" s="144"/>
      <c r="AJ53" s="144"/>
      <c r="AK53" s="144"/>
      <c r="AL53" s="144"/>
      <c r="AM53" s="144"/>
      <c r="AN53" s="144"/>
      <c r="AO53" s="144"/>
      <c r="AP53" s="144"/>
      <c r="AQ53" s="144"/>
      <c r="AR53" s="144"/>
      <c r="AS53" s="144"/>
      <c r="AT53" s="144"/>
      <c r="AU53" s="144"/>
      <c r="AV53" s="144"/>
      <c r="AW53" s="144"/>
      <c r="AX53" s="144"/>
      <c r="AY53" s="144"/>
      <c r="AZ53" s="144"/>
      <c r="BA53" s="144"/>
      <c r="BB53" s="144"/>
      <c r="BC53" s="144"/>
      <c r="BD53" s="144"/>
      <c r="BE53" s="144"/>
      <c r="BF53" s="144"/>
      <c r="BG53" s="144"/>
      <c r="BH53" s="144"/>
      <c r="BI53" s="144"/>
      <c r="BJ53" s="144"/>
      <c r="BK53" s="144"/>
      <c r="BL53" s="144"/>
      <c r="BM53" s="144"/>
      <c r="BN53" s="144"/>
      <c r="BO53" s="144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33"/>
      <c r="DP53" s="33"/>
      <c r="DQ53" s="33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25">
      <c r="A54" s="20"/>
      <c r="B54" s="142" t="s">
        <v>145</v>
      </c>
      <c r="C54" s="142"/>
      <c r="D54" s="142"/>
      <c r="E54" s="142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57" t="s">
        <v>73</v>
      </c>
      <c r="BQ54" s="157"/>
      <c r="BR54" s="157"/>
      <c r="BS54" s="157"/>
      <c r="BT54" s="157"/>
      <c r="BU54" s="157"/>
      <c r="BV54" s="157"/>
      <c r="BW54" s="157"/>
      <c r="BX54" s="56"/>
      <c r="BY54" s="56"/>
      <c r="BZ54" s="56"/>
      <c r="CA54" s="56"/>
      <c r="CB54" s="147"/>
      <c r="CC54" s="148"/>
      <c r="CD54" s="149"/>
      <c r="CE54" s="147"/>
      <c r="CF54" s="148"/>
      <c r="CG54" s="149"/>
      <c r="CH54" s="147"/>
      <c r="CI54" s="148"/>
      <c r="CJ54" s="149"/>
      <c r="CK54" s="147"/>
      <c r="CL54" s="148"/>
      <c r="CM54" s="149"/>
      <c r="CN54" s="147"/>
      <c r="CO54" s="148"/>
      <c r="CP54" s="149"/>
      <c r="CQ54" s="147"/>
      <c r="CR54" s="148"/>
      <c r="CS54" s="149"/>
      <c r="CT54" s="147"/>
      <c r="CU54" s="148"/>
      <c r="CV54" s="149"/>
      <c r="CW54" s="147"/>
      <c r="CX54" s="148"/>
      <c r="CY54" s="149"/>
      <c r="CZ54" s="147"/>
      <c r="DA54" s="148"/>
      <c r="DB54" s="149"/>
      <c r="DC54" s="147"/>
      <c r="DD54" s="148"/>
      <c r="DE54" s="149"/>
      <c r="DF54" s="147"/>
      <c r="DG54" s="148"/>
      <c r="DH54" s="149"/>
      <c r="DI54" s="147"/>
      <c r="DJ54" s="148"/>
      <c r="DK54" s="149"/>
      <c r="DL54" s="6"/>
      <c r="DM54" s="6"/>
      <c r="DN54" s="6"/>
      <c r="DO54" s="33"/>
      <c r="DP54" s="33"/>
      <c r="DQ54" s="33"/>
      <c r="DR54" s="20"/>
      <c r="DS54" s="40"/>
      <c r="DT54" s="40"/>
      <c r="DU54" s="40"/>
      <c r="DV54" s="40"/>
      <c r="DW54" s="40"/>
      <c r="DX54" s="40"/>
      <c r="DY54" s="40"/>
    </row>
    <row r="55" spans="1:129" ht="9" customHeight="1" x14ac:dyDescent="0.25">
      <c r="A55" s="20"/>
      <c r="B55" s="142" t="s">
        <v>146</v>
      </c>
      <c r="C55" s="142"/>
      <c r="D55" s="142"/>
      <c r="E55" s="142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57"/>
      <c r="BQ55" s="157"/>
      <c r="BR55" s="157"/>
      <c r="BS55" s="157"/>
      <c r="BT55" s="157"/>
      <c r="BU55" s="157"/>
      <c r="BV55" s="157"/>
      <c r="BW55" s="157"/>
      <c r="BX55" s="56"/>
      <c r="BY55" s="56"/>
      <c r="BZ55" s="56"/>
      <c r="CA55" s="56"/>
      <c r="CB55" s="150"/>
      <c r="CC55" s="151"/>
      <c r="CD55" s="152"/>
      <c r="CE55" s="150"/>
      <c r="CF55" s="151"/>
      <c r="CG55" s="152"/>
      <c r="CH55" s="150"/>
      <c r="CI55" s="151"/>
      <c r="CJ55" s="152"/>
      <c r="CK55" s="150"/>
      <c r="CL55" s="151"/>
      <c r="CM55" s="152"/>
      <c r="CN55" s="150"/>
      <c r="CO55" s="151"/>
      <c r="CP55" s="152"/>
      <c r="CQ55" s="150"/>
      <c r="CR55" s="151"/>
      <c r="CS55" s="152"/>
      <c r="CT55" s="150"/>
      <c r="CU55" s="151"/>
      <c r="CV55" s="152"/>
      <c r="CW55" s="150"/>
      <c r="CX55" s="151"/>
      <c r="CY55" s="152"/>
      <c r="CZ55" s="150"/>
      <c r="DA55" s="151"/>
      <c r="DB55" s="152"/>
      <c r="DC55" s="150"/>
      <c r="DD55" s="151"/>
      <c r="DE55" s="152"/>
      <c r="DF55" s="150"/>
      <c r="DG55" s="151"/>
      <c r="DH55" s="152"/>
      <c r="DI55" s="150"/>
      <c r="DJ55" s="151"/>
      <c r="DK55" s="152"/>
      <c r="DL55" s="6"/>
      <c r="DM55" s="6"/>
      <c r="DN55" s="6"/>
      <c r="DO55" s="33"/>
      <c r="DP55" s="33"/>
      <c r="DQ55" s="33"/>
      <c r="DR55" s="20"/>
      <c r="DS55" s="40"/>
      <c r="DT55" s="40"/>
      <c r="DU55" s="40"/>
      <c r="DV55" s="40"/>
      <c r="DW55" s="40"/>
      <c r="DX55" s="40"/>
      <c r="DY55" s="40"/>
    </row>
    <row r="56" spans="1:129" ht="9.9" customHeight="1" x14ac:dyDescent="0.25">
      <c r="A56" s="20"/>
      <c r="B56" s="143" t="s">
        <v>144</v>
      </c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33"/>
      <c r="DP56" s="33"/>
      <c r="DQ56" s="33"/>
      <c r="DR56" s="20"/>
      <c r="DS56" s="40"/>
      <c r="DT56" s="40"/>
      <c r="DU56" s="40"/>
      <c r="DV56" s="40"/>
      <c r="DW56" s="40"/>
      <c r="DX56" s="40"/>
      <c r="DY56" s="40"/>
    </row>
    <row r="57" spans="1:129" ht="13.2" x14ac:dyDescent="0.25">
      <c r="A57" s="20"/>
      <c r="B57" s="143"/>
      <c r="C57" s="143"/>
      <c r="D57" s="143"/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33"/>
      <c r="DP57" s="33"/>
      <c r="DQ57" s="33"/>
      <c r="DR57" s="20"/>
      <c r="DS57" s="40"/>
      <c r="DT57" s="40"/>
      <c r="DU57" s="40"/>
      <c r="DV57" s="40"/>
      <c r="DW57" s="40"/>
      <c r="DX57" s="40"/>
      <c r="DY57" s="40"/>
    </row>
    <row r="58" spans="1:129" ht="13.2" x14ac:dyDescent="0.25">
      <c r="A58" s="20"/>
      <c r="B58" s="60"/>
      <c r="C58" s="60"/>
      <c r="D58" s="33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33"/>
      <c r="DP58" s="33"/>
      <c r="DQ58" s="33"/>
      <c r="DR58" s="20"/>
      <c r="DS58" s="40"/>
      <c r="DT58" s="40"/>
      <c r="DU58" s="40"/>
      <c r="DV58" s="40"/>
      <c r="DW58" s="40"/>
      <c r="DX58" s="40"/>
      <c r="DY58" s="40"/>
    </row>
    <row r="59" spans="1:129" ht="13.2" x14ac:dyDescent="0.25">
      <c r="A59" s="20"/>
      <c r="B59" s="60"/>
      <c r="C59" s="60"/>
      <c r="D59" s="33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33"/>
      <c r="DP59" s="33"/>
      <c r="DQ59" s="33"/>
      <c r="DR59" s="20"/>
      <c r="DS59" s="40"/>
      <c r="DT59" s="40"/>
      <c r="DU59" s="40"/>
      <c r="DV59" s="40"/>
      <c r="DW59" s="40"/>
      <c r="DX59" s="40"/>
      <c r="DY59" s="40"/>
    </row>
    <row r="60" spans="1:129" ht="13.2" x14ac:dyDescent="0.25">
      <c r="A60" s="20"/>
      <c r="B60" s="60"/>
      <c r="C60" s="60"/>
      <c r="D60" s="33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33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3.2" x14ac:dyDescent="0.25">
      <c r="A61" s="20"/>
      <c r="B61" s="60"/>
      <c r="C61" s="60"/>
      <c r="D61" s="33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33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3.2" x14ac:dyDescent="0.25">
      <c r="A62" s="20"/>
      <c r="B62" s="60"/>
      <c r="C62" s="60"/>
      <c r="D62" s="33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33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3.2" x14ac:dyDescent="0.25">
      <c r="A63" s="20"/>
      <c r="B63" s="60"/>
      <c r="C63" s="60"/>
      <c r="D63" s="33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33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13.2" x14ac:dyDescent="0.25">
      <c r="A64" s="20"/>
      <c r="B64" s="60"/>
      <c r="C64" s="60"/>
      <c r="D64" s="33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33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13.2" x14ac:dyDescent="0.25">
      <c r="A65" s="20"/>
      <c r="B65" s="60"/>
      <c r="C65" s="60"/>
      <c r="D65" s="33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33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13.2" x14ac:dyDescent="0.25">
      <c r="A66" s="20"/>
      <c r="B66" s="60"/>
      <c r="C66" s="60"/>
      <c r="D66" s="33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33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3.2" x14ac:dyDescent="0.25">
      <c r="A67" s="20"/>
      <c r="B67" s="60"/>
      <c r="C67" s="60"/>
      <c r="D67" s="33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33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13.2" x14ac:dyDescent="0.25">
      <c r="A68" s="20"/>
      <c r="B68" s="60"/>
      <c r="C68" s="60"/>
      <c r="D68" s="33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33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x14ac:dyDescent="0.2">
      <c r="A69" s="20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20"/>
      <c r="DS69" s="40"/>
      <c r="DT69" s="40"/>
      <c r="DU69" s="40"/>
      <c r="DV69" s="40"/>
      <c r="DW69" s="40"/>
      <c r="DX69" s="40"/>
      <c r="DY69" s="40"/>
    </row>
    <row r="70" spans="1:129" x14ac:dyDescent="0.2">
      <c r="A70" s="20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20"/>
      <c r="DS70" s="40"/>
      <c r="DT70" s="40"/>
      <c r="DU70" s="40"/>
      <c r="DV70" s="40"/>
      <c r="DW70" s="40"/>
      <c r="DX70" s="40"/>
      <c r="DY70" s="40"/>
    </row>
    <row r="71" spans="1:129" x14ac:dyDescent="0.2">
      <c r="A71" s="20"/>
      <c r="B71" s="6" t="s">
        <v>74</v>
      </c>
      <c r="C71" s="6"/>
      <c r="D71" s="6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20"/>
      <c r="DS71" s="40"/>
      <c r="DT71" s="40"/>
      <c r="DU71" s="40"/>
      <c r="DV71" s="40"/>
      <c r="DW71" s="40"/>
      <c r="DX71" s="40"/>
      <c r="DY71" s="40"/>
    </row>
    <row r="72" spans="1:129" x14ac:dyDescent="0.2">
      <c r="A72" s="20"/>
      <c r="B72" s="6" t="s">
        <v>75</v>
      </c>
      <c r="C72" s="6"/>
      <c r="D72" s="6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  <c r="DL72" s="15"/>
      <c r="DM72" s="15"/>
      <c r="DN72" s="15"/>
      <c r="DO72" s="15"/>
      <c r="DP72" s="15"/>
      <c r="DQ72" s="15"/>
      <c r="DR72" s="20"/>
      <c r="DS72" s="40"/>
      <c r="DT72" s="40"/>
      <c r="DU72" s="40"/>
      <c r="DV72" s="40"/>
      <c r="DW72" s="40"/>
      <c r="DX72" s="40"/>
      <c r="DY72" s="40"/>
    </row>
    <row r="73" spans="1:129" x14ac:dyDescent="0.2">
      <c r="A73" s="20"/>
      <c r="B73" s="6"/>
      <c r="C73" s="6"/>
      <c r="D73" s="6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  <c r="DL73" s="15"/>
      <c r="DM73" s="15"/>
      <c r="DN73" s="15"/>
      <c r="DO73" s="15"/>
      <c r="DP73" s="15"/>
      <c r="DQ73" s="15"/>
      <c r="DR73" s="20"/>
      <c r="DS73" s="40"/>
      <c r="DT73" s="40"/>
      <c r="DU73" s="40"/>
      <c r="DV73" s="40"/>
      <c r="DW73" s="40"/>
      <c r="DX73" s="40"/>
      <c r="DY73" s="40"/>
    </row>
    <row r="74" spans="1:129" ht="13.2" x14ac:dyDescent="0.25">
      <c r="A74" s="20"/>
      <c r="B74" s="33"/>
      <c r="C74" s="33"/>
      <c r="D74" s="33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x14ac:dyDescent="0.2">
      <c r="A75" s="20"/>
      <c r="B75" s="175" t="s">
        <v>34</v>
      </c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75"/>
      <c r="BI75" s="175"/>
      <c r="BJ75" s="175"/>
      <c r="BK75" s="175"/>
      <c r="BL75" s="175"/>
      <c r="BM75" s="175"/>
      <c r="BN75" s="175"/>
      <c r="BO75" s="175"/>
      <c r="BP75" s="175"/>
      <c r="BQ75" s="175"/>
      <c r="BR75" s="175"/>
      <c r="BS75" s="175"/>
      <c r="BT75" s="175"/>
      <c r="BU75" s="175"/>
      <c r="BV75" s="175"/>
      <c r="BW75" s="175"/>
      <c r="BX75" s="175"/>
      <c r="BY75" s="175"/>
      <c r="BZ75" s="175"/>
      <c r="CA75" s="175"/>
      <c r="CB75" s="175"/>
      <c r="CC75" s="175"/>
      <c r="CD75" s="175"/>
      <c r="CE75" s="175"/>
      <c r="CF75" s="175"/>
      <c r="CG75" s="175"/>
      <c r="CH75" s="175"/>
      <c r="CI75" s="175"/>
      <c r="CJ75" s="175"/>
      <c r="CK75" s="175"/>
      <c r="CL75" s="175"/>
      <c r="CM75" s="175"/>
      <c r="CN75" s="175"/>
      <c r="CO75" s="175"/>
      <c r="CP75" s="175"/>
      <c r="CQ75" s="175"/>
      <c r="CR75" s="175"/>
      <c r="CS75" s="175"/>
      <c r="CT75" s="175"/>
      <c r="CU75" s="175"/>
      <c r="CV75" s="175"/>
      <c r="CW75" s="175"/>
      <c r="CX75" s="175"/>
      <c r="CY75" s="175"/>
      <c r="CZ75" s="175"/>
      <c r="DA75" s="175"/>
      <c r="DB75" s="175"/>
      <c r="DC75" s="175"/>
      <c r="DD75" s="175"/>
      <c r="DE75" s="175"/>
      <c r="DF75" s="175"/>
      <c r="DG75" s="175"/>
      <c r="DH75" s="175"/>
      <c r="DI75" s="175"/>
      <c r="DJ75" s="175"/>
      <c r="DK75" s="175"/>
      <c r="DL75" s="175"/>
      <c r="DM75" s="175"/>
      <c r="DN75" s="175"/>
      <c r="DO75" s="175"/>
      <c r="DP75" s="175"/>
      <c r="DQ75" s="175"/>
      <c r="DR75" s="20"/>
      <c r="DS75" s="40"/>
      <c r="DT75" s="40"/>
      <c r="DU75" s="40"/>
      <c r="DV75" s="40"/>
      <c r="DW75" s="40"/>
      <c r="DX75" s="40"/>
      <c r="DY75" s="40"/>
    </row>
    <row r="76" spans="1:129" ht="12.75" customHeight="1" x14ac:dyDescent="0.25">
      <c r="A76" s="20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76"/>
      <c r="AF76" s="176"/>
      <c r="AG76" s="176"/>
      <c r="AH76" s="176"/>
      <c r="AI76" s="176"/>
      <c r="AJ76" s="176"/>
      <c r="AK76" s="176"/>
      <c r="AL76" s="176"/>
      <c r="AM76" s="176"/>
      <c r="AN76" s="176"/>
      <c r="AO76" s="176"/>
      <c r="AP76" s="176"/>
      <c r="AQ76" s="176"/>
      <c r="AR76" s="176"/>
      <c r="AS76" s="176"/>
      <c r="AT76" s="176"/>
      <c r="AU76" s="176"/>
      <c r="AV76" s="176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20"/>
      <c r="DS76" s="40"/>
      <c r="DT76" s="40"/>
      <c r="DU76" s="40"/>
      <c r="DV76" s="40"/>
      <c r="DW76" s="40"/>
      <c r="DX76" s="40"/>
      <c r="DY76" s="40"/>
    </row>
    <row r="77" spans="1:129" ht="12.75" customHeight="1" x14ac:dyDescent="0.25">
      <c r="A77" s="20"/>
      <c r="B77" s="174"/>
      <c r="C77" s="174"/>
      <c r="D77" s="17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76"/>
      <c r="AF77" s="176"/>
      <c r="AG77" s="176"/>
      <c r="AH77" s="176"/>
      <c r="AI77" s="176"/>
      <c r="AJ77" s="176"/>
      <c r="AK77" s="176"/>
      <c r="AL77" s="176"/>
      <c r="AM77" s="176"/>
      <c r="AN77" s="176"/>
      <c r="AO77" s="176"/>
      <c r="AP77" s="176"/>
      <c r="AQ77" s="176"/>
      <c r="AR77" s="176"/>
      <c r="AS77" s="176"/>
      <c r="AT77" s="176"/>
      <c r="AU77" s="176"/>
      <c r="AV77" s="176"/>
      <c r="AW77" s="34" t="s">
        <v>35</v>
      </c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76"/>
      <c r="BR77" s="176"/>
      <c r="BS77" s="176"/>
      <c r="BT77" s="176"/>
      <c r="BU77" s="176"/>
      <c r="BV77" s="176"/>
      <c r="BW77" s="176"/>
      <c r="BX77" s="176"/>
      <c r="BY77" s="176"/>
      <c r="BZ77" s="176"/>
      <c r="CA77" s="176"/>
      <c r="CB77" s="176"/>
      <c r="CC77" s="176"/>
      <c r="CD77" s="176"/>
      <c r="CE77" s="176"/>
      <c r="CF77" s="176"/>
      <c r="CG77" s="176"/>
      <c r="CH77" s="176"/>
      <c r="CI77" s="176"/>
      <c r="CJ77" s="176"/>
      <c r="CK77" s="176"/>
      <c r="CL77" s="176"/>
      <c r="CM77" s="176"/>
      <c r="CN77" s="176"/>
      <c r="CO77" s="176"/>
      <c r="CP77" s="34" t="s">
        <v>36</v>
      </c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74"/>
      <c r="DP77" s="174"/>
      <c r="DQ77" s="174"/>
      <c r="DR77" s="20"/>
      <c r="DS77" s="40"/>
      <c r="DT77" s="40"/>
      <c r="DU77" s="40"/>
      <c r="DV77" s="40"/>
      <c r="DW77" s="40"/>
      <c r="DX77" s="40"/>
      <c r="DY77" s="40"/>
    </row>
    <row r="78" spans="1:129" x14ac:dyDescent="0.2">
      <c r="A78" s="20"/>
      <c r="B78" s="174"/>
      <c r="C78" s="174"/>
      <c r="D78" s="174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174"/>
      <c r="DP78" s="174"/>
      <c r="DQ78" s="174"/>
      <c r="DR78" s="20"/>
      <c r="DS78" s="40"/>
      <c r="DT78" s="40"/>
      <c r="DU78" s="40"/>
      <c r="DV78" s="40"/>
      <c r="DW78" s="40"/>
      <c r="DX78" s="40"/>
      <c r="DY78" s="40"/>
    </row>
    <row r="79" spans="1:129" ht="15.75" customHeight="1" x14ac:dyDescent="0.2">
      <c r="A79" s="20"/>
      <c r="B79" s="44"/>
      <c r="C79" s="44"/>
      <c r="D79" s="44"/>
      <c r="E79" s="44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  <c r="CT79" s="20"/>
      <c r="CU79" s="20"/>
      <c r="CV79" s="20"/>
      <c r="CW79" s="20"/>
      <c r="CX79" s="20"/>
      <c r="CY79" s="20"/>
      <c r="CZ79" s="20"/>
      <c r="DA79" s="20"/>
      <c r="DB79" s="20"/>
      <c r="DC79" s="20"/>
      <c r="DD79" s="20"/>
      <c r="DE79" s="20"/>
      <c r="DF79" s="20"/>
      <c r="DG79" s="20"/>
      <c r="DH79" s="20"/>
      <c r="DI79" s="20"/>
      <c r="DJ79" s="20"/>
      <c r="DK79" s="20"/>
      <c r="DL79" s="20"/>
      <c r="DM79" s="20"/>
      <c r="DN79" s="44"/>
      <c r="DO79" s="44"/>
      <c r="DP79" s="44"/>
      <c r="DQ79" s="44"/>
      <c r="DR79" s="20"/>
      <c r="DS79" s="40"/>
      <c r="DT79" s="40"/>
      <c r="DU79" s="40"/>
      <c r="DV79" s="40"/>
      <c r="DW79" s="40"/>
      <c r="DX79" s="40"/>
      <c r="DY79" s="40"/>
    </row>
    <row r="80" spans="1:129" x14ac:dyDescent="0.2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40"/>
      <c r="DT80" s="40"/>
      <c r="DU80" s="40"/>
      <c r="DV80" s="40"/>
      <c r="DW80" s="40"/>
      <c r="DX80" s="40"/>
      <c r="DY80" s="40"/>
    </row>
    <row r="81" spans="1:129" x14ac:dyDescent="0.2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40"/>
      <c r="DT81" s="40"/>
      <c r="DU81" s="40"/>
      <c r="DV81" s="40"/>
      <c r="DW81" s="40"/>
      <c r="DX81" s="40"/>
      <c r="DY81" s="40"/>
    </row>
    <row r="82" spans="1:129" x14ac:dyDescent="0.2">
      <c r="DS82" s="40"/>
      <c r="DT82" s="40"/>
      <c r="DU82" s="40"/>
      <c r="DV82" s="40"/>
      <c r="DW82" s="40"/>
      <c r="DX82" s="40"/>
      <c r="DY82" s="40"/>
    </row>
    <row r="83" spans="1:129" x14ac:dyDescent="0.2">
      <c r="DS83" s="40"/>
      <c r="DT83" s="40"/>
      <c r="DU83" s="40"/>
      <c r="DV83" s="40"/>
      <c r="DW83" s="40"/>
      <c r="DX83" s="40"/>
      <c r="DY83" s="40"/>
    </row>
    <row r="84" spans="1:129" x14ac:dyDescent="0.2">
      <c r="DS84" s="40"/>
      <c r="DT84" s="40"/>
      <c r="DU84" s="40"/>
      <c r="DV84" s="40"/>
      <c r="DW84" s="40"/>
      <c r="DX84" s="40"/>
      <c r="DY84" s="40"/>
    </row>
    <row r="85" spans="1:129" x14ac:dyDescent="0.2">
      <c r="DS85" s="40"/>
      <c r="DT85" s="40"/>
      <c r="DU85" s="40"/>
      <c r="DV85" s="40"/>
      <c r="DW85" s="40"/>
      <c r="DX85" s="40"/>
      <c r="DY85" s="40"/>
    </row>
    <row r="86" spans="1:129" x14ac:dyDescent="0.2">
      <c r="DS86" s="40"/>
      <c r="DT86" s="40"/>
      <c r="DU86" s="40"/>
      <c r="DV86" s="40"/>
      <c r="DW86" s="40"/>
      <c r="DX86" s="40"/>
      <c r="DY86" s="40"/>
    </row>
    <row r="87" spans="1:129" ht="13.5" customHeight="1" x14ac:dyDescent="0.2">
      <c r="DS87" s="40"/>
      <c r="DT87" s="40"/>
      <c r="DU87" s="40"/>
      <c r="DV87" s="40"/>
      <c r="DW87" s="40"/>
      <c r="DX87" s="40"/>
      <c r="DY87" s="40"/>
    </row>
    <row r="88" spans="1:129" s="2" customFormat="1" ht="13.2" x14ac:dyDescent="0.25"/>
    <row r="89" spans="1:129" s="2" customFormat="1" ht="6" customHeight="1" x14ac:dyDescent="0.25"/>
    <row r="90" spans="1:129" s="2" customFormat="1" ht="9" customHeight="1" x14ac:dyDescent="0.25"/>
    <row r="91" spans="1:129" s="1" customFormat="1" ht="5.25" customHeight="1" x14ac:dyDescent="0.2"/>
  </sheetData>
  <mergeCells count="213">
    <mergeCell ref="BP48:BW49"/>
    <mergeCell ref="CE48:CG49"/>
    <mergeCell ref="CH48:CJ49"/>
    <mergeCell ref="CK48:CM49"/>
    <mergeCell ref="CN48:CP49"/>
    <mergeCell ref="CQ48:CS49"/>
    <mergeCell ref="DC42:DE43"/>
    <mergeCell ref="DF42:DH43"/>
    <mergeCell ref="DI42:DK43"/>
    <mergeCell ref="BP45:BW45"/>
    <mergeCell ref="CB45:CD45"/>
    <mergeCell ref="CE45:CG45"/>
    <mergeCell ref="CH45:CJ45"/>
    <mergeCell ref="CK45:CM45"/>
    <mergeCell ref="CW45:CY45"/>
    <mergeCell ref="CZ45:DB45"/>
    <mergeCell ref="DC45:DE45"/>
    <mergeCell ref="DF45:DH45"/>
    <mergeCell ref="BP42:BW43"/>
    <mergeCell ref="CE42:CG43"/>
    <mergeCell ref="CH42:CJ43"/>
    <mergeCell ref="CK42:CM43"/>
    <mergeCell ref="CN42:CP43"/>
    <mergeCell ref="CQ42:CS43"/>
    <mergeCell ref="CW42:CY43"/>
    <mergeCell ref="CZ42:DB43"/>
    <mergeCell ref="CW37:CY38"/>
    <mergeCell ref="CZ37:DB38"/>
    <mergeCell ref="BP34:BW34"/>
    <mergeCell ref="CB34:CD34"/>
    <mergeCell ref="CE34:CG34"/>
    <mergeCell ref="CH34:CJ34"/>
    <mergeCell ref="BP37:BW38"/>
    <mergeCell ref="CE37:CG38"/>
    <mergeCell ref="CH37:CJ38"/>
    <mergeCell ref="DC37:DE38"/>
    <mergeCell ref="DF37:DH38"/>
    <mergeCell ref="DI37:DK38"/>
    <mergeCell ref="DF54:DH55"/>
    <mergeCell ref="DI54:DK55"/>
    <mergeCell ref="BP54:BW55"/>
    <mergeCell ref="CE54:CG55"/>
    <mergeCell ref="DC31:DE32"/>
    <mergeCell ref="DF31:DH32"/>
    <mergeCell ref="DI31:DK32"/>
    <mergeCell ref="CK34:CM34"/>
    <mergeCell ref="CN34:CP34"/>
    <mergeCell ref="CQ34:CS34"/>
    <mergeCell ref="CT34:CV34"/>
    <mergeCell ref="CW34:CY34"/>
    <mergeCell ref="CZ34:DB34"/>
    <mergeCell ref="DC34:DE34"/>
    <mergeCell ref="CW31:CY32"/>
    <mergeCell ref="CZ31:DB32"/>
    <mergeCell ref="CK31:CM32"/>
    <mergeCell ref="CN31:CP32"/>
    <mergeCell ref="CQ31:CS32"/>
    <mergeCell ref="CT31:CV32"/>
    <mergeCell ref="DF34:DH34"/>
    <mergeCell ref="BQ76:CO77"/>
    <mergeCell ref="CQ27:CS28"/>
    <mergeCell ref="CT27:CV28"/>
    <mergeCell ref="BP31:BW32"/>
    <mergeCell ref="AE76:AV77"/>
    <mergeCell ref="BP12:BW12"/>
    <mergeCell ref="B12:BL12"/>
    <mergeCell ref="B13:BL13"/>
    <mergeCell ref="B14:BL16"/>
    <mergeCell ref="CN45:CP45"/>
    <mergeCell ref="CA13:DK13"/>
    <mergeCell ref="CB15:CD15"/>
    <mergeCell ref="BP13:BW13"/>
    <mergeCell ref="BP15:BW15"/>
    <mergeCell ref="CW48:CY49"/>
    <mergeCell ref="CZ48:DB49"/>
    <mergeCell ref="DC48:DE49"/>
    <mergeCell ref="DF48:DH49"/>
    <mergeCell ref="DI48:DK49"/>
    <mergeCell ref="CE31:CG32"/>
    <mergeCell ref="CH31:CJ32"/>
    <mergeCell ref="CW54:CY55"/>
    <mergeCell ref="CZ54:DB55"/>
    <mergeCell ref="DC54:DE55"/>
    <mergeCell ref="DF17:DH17"/>
    <mergeCell ref="B9:DQ9"/>
    <mergeCell ref="B10:DQ10"/>
    <mergeCell ref="BJ5:BL5"/>
    <mergeCell ref="BM5:BR5"/>
    <mergeCell ref="DO77:DQ78"/>
    <mergeCell ref="B75:DQ75"/>
    <mergeCell ref="CH17:CJ17"/>
    <mergeCell ref="CK17:CM17"/>
    <mergeCell ref="CN17:CP17"/>
    <mergeCell ref="B77:D78"/>
    <mergeCell ref="BP17:BW17"/>
    <mergeCell ref="DC20:DE21"/>
    <mergeCell ref="DF20:DH21"/>
    <mergeCell ref="DI20:DK21"/>
    <mergeCell ref="CW27:CY28"/>
    <mergeCell ref="CZ27:DB28"/>
    <mergeCell ref="DC27:DE28"/>
    <mergeCell ref="DF27:DH28"/>
    <mergeCell ref="DI27:DK28"/>
    <mergeCell ref="CB17:CD17"/>
    <mergeCell ref="CE17:CG17"/>
    <mergeCell ref="CZ20:DB21"/>
    <mergeCell ref="DF23:DH23"/>
    <mergeCell ref="BG2:BI3"/>
    <mergeCell ref="BJ2:BL3"/>
    <mergeCell ref="BA5:BC5"/>
    <mergeCell ref="BA2:BC3"/>
    <mergeCell ref="CZ23:DB23"/>
    <mergeCell ref="DC23:DE23"/>
    <mergeCell ref="CW17:CY17"/>
    <mergeCell ref="CZ17:DB17"/>
    <mergeCell ref="DC17:DE17"/>
    <mergeCell ref="BV5:BX5"/>
    <mergeCell ref="B21:BO22"/>
    <mergeCell ref="AD5:AK5"/>
    <mergeCell ref="AL5:AN5"/>
    <mergeCell ref="AU5:AW5"/>
    <mergeCell ref="AX5:AZ5"/>
    <mergeCell ref="AR5:AT5"/>
    <mergeCell ref="CT20:CV21"/>
    <mergeCell ref="AL2:AN3"/>
    <mergeCell ref="CQ17:CS17"/>
    <mergeCell ref="CT17:CV17"/>
    <mergeCell ref="CN23:CP23"/>
    <mergeCell ref="CE20:CG21"/>
    <mergeCell ref="CH20:CJ21"/>
    <mergeCell ref="CK20:CM21"/>
    <mergeCell ref="A1:D1"/>
    <mergeCell ref="Z1:AC1"/>
    <mergeCell ref="AO2:AQ3"/>
    <mergeCell ref="AR2:AT3"/>
    <mergeCell ref="AU2:AW3"/>
    <mergeCell ref="CW23:CY23"/>
    <mergeCell ref="CA12:DK12"/>
    <mergeCell ref="BM2:BO3"/>
    <mergeCell ref="BP2:BR3"/>
    <mergeCell ref="BS2:BU3"/>
    <mergeCell ref="BD2:BF3"/>
    <mergeCell ref="AX2:AZ3"/>
    <mergeCell ref="BD5:BF5"/>
    <mergeCell ref="BG5:BI5"/>
    <mergeCell ref="BS5:BU5"/>
    <mergeCell ref="BY5:CA5"/>
    <mergeCell ref="B8:DQ8"/>
    <mergeCell ref="AO5:AQ5"/>
    <mergeCell ref="CW20:CY21"/>
    <mergeCell ref="CQ23:CS23"/>
    <mergeCell ref="CT23:CV23"/>
    <mergeCell ref="B2:D2"/>
    <mergeCell ref="Z2:AB2"/>
    <mergeCell ref="AD2:AK2"/>
    <mergeCell ref="CN20:CP21"/>
    <mergeCell ref="CK27:CM28"/>
    <mergeCell ref="CN27:CP28"/>
    <mergeCell ref="BP20:BW21"/>
    <mergeCell ref="BP27:BW28"/>
    <mergeCell ref="CB20:CD21"/>
    <mergeCell ref="CB27:CD28"/>
    <mergeCell ref="CQ20:CS21"/>
    <mergeCell ref="CB23:CD23"/>
    <mergeCell ref="CE23:CG23"/>
    <mergeCell ref="CH23:CJ23"/>
    <mergeCell ref="CK23:CM23"/>
    <mergeCell ref="BP23:BW23"/>
    <mergeCell ref="CE27:CG28"/>
    <mergeCell ref="CH27:CJ28"/>
    <mergeCell ref="B19:BO19"/>
    <mergeCell ref="B20:BO20"/>
    <mergeCell ref="CH54:CJ55"/>
    <mergeCell ref="CK54:CM55"/>
    <mergeCell ref="CN54:CP55"/>
    <mergeCell ref="CB31:CD32"/>
    <mergeCell ref="CB37:CD38"/>
    <mergeCell ref="CB42:CD43"/>
    <mergeCell ref="CB48:CD49"/>
    <mergeCell ref="CB54:CD55"/>
    <mergeCell ref="B25:BO25"/>
    <mergeCell ref="B26:BO26"/>
    <mergeCell ref="B27:BO27"/>
    <mergeCell ref="B28:BO28"/>
    <mergeCell ref="B30:BO30"/>
    <mergeCell ref="B31:BO31"/>
    <mergeCell ref="B32:BO32"/>
    <mergeCell ref="B36:BO36"/>
    <mergeCell ref="B37:BO37"/>
    <mergeCell ref="B38:BO38"/>
    <mergeCell ref="B39:BO39"/>
    <mergeCell ref="B47:BO47"/>
    <mergeCell ref="B48:BO48"/>
    <mergeCell ref="B49:BO49"/>
    <mergeCell ref="CT54:CV55"/>
    <mergeCell ref="CQ54:CS55"/>
    <mergeCell ref="CT48:CV49"/>
    <mergeCell ref="CQ45:CS45"/>
    <mergeCell ref="CT45:CV45"/>
    <mergeCell ref="CK37:CM38"/>
    <mergeCell ref="CN37:CP38"/>
    <mergeCell ref="CQ37:CS38"/>
    <mergeCell ref="CT37:CV38"/>
    <mergeCell ref="CT42:CV43"/>
    <mergeCell ref="B50:BO50"/>
    <mergeCell ref="B55:BO55"/>
    <mergeCell ref="B56:BO57"/>
    <mergeCell ref="B51:BO51"/>
    <mergeCell ref="B41:BO41"/>
    <mergeCell ref="B42:BO42"/>
    <mergeCell ref="B43:BO43"/>
    <mergeCell ref="B53:BO53"/>
    <mergeCell ref="B54:BO54"/>
  </mergeCells>
  <phoneticPr fontId="23" type="noConversion"/>
  <printOptions horizontalCentered="1"/>
  <pageMargins left="0.36" right="0.19685039370078741" top="0.49" bottom="0.19685039370078741" header="0" footer="0"/>
  <pageSetup paperSize="9" scale="86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DY94"/>
  <sheetViews>
    <sheetView showGridLines="0" view="pageBreakPreview" zoomScaleNormal="100" zoomScaleSheetLayoutView="100" workbookViewId="0">
      <selection activeCell="AY11" sqref="AY11"/>
    </sheetView>
  </sheetViews>
  <sheetFormatPr defaultColWidth="0.88671875" defaultRowHeight="11.4" x14ac:dyDescent="0.2"/>
  <cols>
    <col min="1" max="28" width="0.88671875" style="4"/>
    <col min="29" max="29" width="0.88671875" style="4" customWidth="1"/>
    <col min="30" max="31" width="0.88671875" style="4"/>
    <col min="32" max="33" width="6.33203125" style="4" customWidth="1"/>
    <col min="34" max="121" width="0.88671875" style="4"/>
    <col min="122" max="122" width="1.33203125" style="4" customWidth="1"/>
    <col min="123" max="123" width="8.5546875" style="4" customWidth="1"/>
    <col min="124" max="16384" width="0.88671875" style="4"/>
  </cols>
  <sheetData>
    <row r="1" spans="1:129" ht="15.75" customHeight="1" x14ac:dyDescent="0.2">
      <c r="A1" s="159"/>
      <c r="B1" s="159"/>
      <c r="C1" s="159"/>
      <c r="D1" s="16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161"/>
      <c r="AA1" s="159"/>
      <c r="AB1" s="159"/>
      <c r="AC1" s="16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0"/>
      <c r="CP1" s="20"/>
      <c r="CQ1" s="20"/>
      <c r="CR1" s="20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0"/>
      <c r="DK1" s="20"/>
      <c r="DL1" s="20"/>
      <c r="DM1" s="20"/>
      <c r="DN1" s="20"/>
      <c r="DO1" s="20"/>
      <c r="DP1" s="20"/>
      <c r="DQ1" s="20"/>
      <c r="DR1" s="20"/>
      <c r="DS1" s="40"/>
      <c r="DT1" s="40"/>
      <c r="DU1" s="40"/>
      <c r="DV1" s="40"/>
      <c r="DW1" s="40"/>
      <c r="DX1" s="40"/>
      <c r="DY1" s="40"/>
    </row>
    <row r="2" spans="1:129" s="1" customFormat="1" ht="14.25" customHeight="1" x14ac:dyDescent="0.2">
      <c r="A2" s="5"/>
      <c r="B2" s="80"/>
      <c r="C2" s="80"/>
      <c r="D2" s="80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80"/>
      <c r="AA2" s="80"/>
      <c r="AB2" s="80"/>
      <c r="AC2" s="5"/>
      <c r="AD2" s="85" t="s">
        <v>2</v>
      </c>
      <c r="AE2" s="85"/>
      <c r="AF2" s="85"/>
      <c r="AG2" s="85"/>
      <c r="AH2" s="85"/>
      <c r="AI2" s="85"/>
      <c r="AJ2" s="85"/>
      <c r="AK2" s="85"/>
      <c r="AL2" s="162" t="str">
        <f>IF(ISBLANK(str.1!AL2),"",str.1!AL2)</f>
        <v>1</v>
      </c>
      <c r="AM2" s="163"/>
      <c r="AN2" s="164"/>
      <c r="AO2" s="162" t="str">
        <f>IF(ISBLANK(str.1!AO2),"",str.1!AO2)</f>
        <v>2</v>
      </c>
      <c r="AP2" s="163"/>
      <c r="AQ2" s="164"/>
      <c r="AR2" s="162" t="str">
        <f>IF(ISBLANK(str.1!AR2),"",str.1!AR2)</f>
        <v>2</v>
      </c>
      <c r="AS2" s="163"/>
      <c r="AT2" s="164"/>
      <c r="AU2" s="162" t="str">
        <f>IF(ISBLANK(str.1!AU2),"",str.1!AU2)</f>
        <v>1</v>
      </c>
      <c r="AV2" s="163"/>
      <c r="AW2" s="164"/>
      <c r="AX2" s="162" t="str">
        <f>IF(ISBLANK(str.1!AX2),"",str.1!AX2)</f>
        <v>1</v>
      </c>
      <c r="AY2" s="163"/>
      <c r="AZ2" s="164"/>
      <c r="BA2" s="162" t="str">
        <f>IF(ISBLANK(str.1!BA2),"",str.1!BA2)</f>
        <v>1</v>
      </c>
      <c r="BB2" s="163"/>
      <c r="BC2" s="164"/>
      <c r="BD2" s="162" t="str">
        <f>IF(ISBLANK(str.1!BD2),"",str.1!BD2)</f>
        <v>2</v>
      </c>
      <c r="BE2" s="163"/>
      <c r="BF2" s="164"/>
      <c r="BG2" s="162" t="str">
        <f>IF(ISBLANK(str.1!BG2),"",str.1!BG2)</f>
        <v>2</v>
      </c>
      <c r="BH2" s="163"/>
      <c r="BI2" s="164"/>
      <c r="BJ2" s="162" t="str">
        <f>IF(ISBLANK(str.1!BJ2),"",str.1!BJ2)</f>
        <v>1</v>
      </c>
      <c r="BK2" s="163"/>
      <c r="BL2" s="164"/>
      <c r="BM2" s="162" t="str">
        <f>IF(ISBLANK(str.1!BM2),"",str.1!BM2)</f>
        <v>2</v>
      </c>
      <c r="BN2" s="163"/>
      <c r="BO2" s="164"/>
      <c r="BP2" s="162" t="str">
        <f>IF(ISBLANK(str.1!BP2),"",str.1!BP2)</f>
        <v>2</v>
      </c>
      <c r="BQ2" s="163"/>
      <c r="BR2" s="164"/>
      <c r="BS2" s="162" t="str">
        <f>IF(ISBLANK(str.1!BS2),"",str.1!BS2)</f>
        <v>1</v>
      </c>
      <c r="BT2" s="163"/>
      <c r="BU2" s="164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7"/>
      <c r="CL2" s="7"/>
      <c r="CM2" s="7"/>
      <c r="CN2" s="7"/>
      <c r="CO2" s="7"/>
      <c r="CP2" s="7"/>
      <c r="CQ2" s="7"/>
      <c r="CR2" s="7"/>
      <c r="CS2" s="5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9"/>
      <c r="DR2" s="5"/>
      <c r="DS2" s="41"/>
      <c r="DT2" s="41"/>
      <c r="DU2" s="41"/>
      <c r="DV2" s="41"/>
      <c r="DW2" s="41"/>
      <c r="DX2" s="41"/>
      <c r="DY2" s="41"/>
    </row>
    <row r="3" spans="1:129" s="1" customFormat="1" ht="3" customHeight="1" x14ac:dyDescent="0.25">
      <c r="A3" s="5"/>
      <c r="B3" s="10"/>
      <c r="C3" s="10"/>
      <c r="D3" s="10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11"/>
      <c r="AE3" s="11"/>
      <c r="AF3" s="11"/>
      <c r="AG3" s="11"/>
      <c r="AH3" s="11"/>
      <c r="AI3" s="11"/>
      <c r="AJ3" s="11"/>
      <c r="AK3" s="5"/>
      <c r="AL3" s="165"/>
      <c r="AM3" s="166"/>
      <c r="AN3" s="167"/>
      <c r="AO3" s="165"/>
      <c r="AP3" s="166"/>
      <c r="AQ3" s="167"/>
      <c r="AR3" s="165"/>
      <c r="AS3" s="166"/>
      <c r="AT3" s="167"/>
      <c r="AU3" s="165"/>
      <c r="AV3" s="166"/>
      <c r="AW3" s="167"/>
      <c r="AX3" s="165"/>
      <c r="AY3" s="166"/>
      <c r="AZ3" s="167"/>
      <c r="BA3" s="165"/>
      <c r="BB3" s="166"/>
      <c r="BC3" s="167"/>
      <c r="BD3" s="165"/>
      <c r="BE3" s="166"/>
      <c r="BF3" s="167"/>
      <c r="BG3" s="165"/>
      <c r="BH3" s="166"/>
      <c r="BI3" s="167"/>
      <c r="BJ3" s="165"/>
      <c r="BK3" s="166"/>
      <c r="BL3" s="167"/>
      <c r="BM3" s="165"/>
      <c r="BN3" s="166"/>
      <c r="BO3" s="167"/>
      <c r="BP3" s="165"/>
      <c r="BQ3" s="166"/>
      <c r="BR3" s="167"/>
      <c r="BS3" s="165"/>
      <c r="BT3" s="166"/>
      <c r="BU3" s="167"/>
      <c r="BV3" s="5"/>
      <c r="BW3" s="5"/>
      <c r="BX3" s="5"/>
      <c r="BY3" s="5"/>
      <c r="BZ3" s="5"/>
      <c r="CA3" s="5"/>
      <c r="CB3" s="5"/>
      <c r="CC3" s="12"/>
      <c r="CD3" s="12"/>
      <c r="CE3" s="5"/>
      <c r="CF3" s="5"/>
      <c r="CG3" s="5"/>
      <c r="CH3" s="5"/>
      <c r="CI3" s="5"/>
      <c r="CJ3" s="7"/>
      <c r="CK3" s="7"/>
      <c r="CL3" s="7"/>
      <c r="CM3" s="7"/>
      <c r="CN3" s="7"/>
      <c r="CO3" s="7"/>
      <c r="CP3" s="7"/>
      <c r="CQ3" s="7"/>
      <c r="CR3" s="7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5"/>
      <c r="DS3" s="41"/>
      <c r="DT3" s="41"/>
      <c r="DU3" s="41"/>
      <c r="DV3" s="41"/>
      <c r="DW3" s="41"/>
      <c r="DX3" s="41"/>
      <c r="DY3" s="41"/>
    </row>
    <row r="4" spans="1:129" s="1" customFormat="1" ht="4.5" customHeight="1" x14ac:dyDescent="0.25">
      <c r="A4" s="5"/>
      <c r="B4" s="10"/>
      <c r="C4" s="10"/>
      <c r="D4" s="10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12"/>
      <c r="CD4" s="12"/>
      <c r="CE4" s="5"/>
      <c r="CF4" s="5"/>
      <c r="CG4" s="5"/>
      <c r="CH4" s="5"/>
      <c r="CI4" s="5"/>
      <c r="CJ4" s="7"/>
      <c r="CK4" s="7"/>
      <c r="CL4" s="7"/>
      <c r="CM4" s="7"/>
      <c r="CN4" s="7"/>
      <c r="CO4" s="7"/>
      <c r="CP4" s="7"/>
      <c r="CQ4" s="7"/>
      <c r="CR4" s="7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5"/>
      <c r="DS4" s="41"/>
      <c r="DT4" s="41"/>
      <c r="DU4" s="41"/>
      <c r="DV4" s="41"/>
      <c r="DW4" s="41"/>
      <c r="DX4" s="41"/>
      <c r="DY4" s="41"/>
    </row>
    <row r="5" spans="1:129" s="1" customFormat="1" ht="17.25" customHeight="1" x14ac:dyDescent="0.25">
      <c r="A5" s="5"/>
      <c r="B5" s="10"/>
      <c r="C5" s="10"/>
      <c r="D5" s="10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85" t="s">
        <v>3</v>
      </c>
      <c r="AE5" s="85"/>
      <c r="AF5" s="85"/>
      <c r="AG5" s="85"/>
      <c r="AH5" s="85"/>
      <c r="AI5" s="85"/>
      <c r="AJ5" s="85"/>
      <c r="AK5" s="85"/>
      <c r="AL5" s="169" t="str">
        <f>IF(ISBLANK(str.1!AL5),"",str.1!AL5)</f>
        <v>-</v>
      </c>
      <c r="AM5" s="169"/>
      <c r="AN5" s="169"/>
      <c r="AO5" s="169" t="str">
        <f>IF(ISBLANK(str.1!AO5),"",str.1!AO5)</f>
        <v>-</v>
      </c>
      <c r="AP5" s="169"/>
      <c r="AQ5" s="169"/>
      <c r="AR5" s="169" t="str">
        <f>IF(ISBLANK(str.1!AR5),"",str.1!AR5)</f>
        <v>-</v>
      </c>
      <c r="AS5" s="169"/>
      <c r="AT5" s="169"/>
      <c r="AU5" s="169" t="str">
        <f>IF(ISBLANK(str.1!AU5),"",str.1!AU5)</f>
        <v>-</v>
      </c>
      <c r="AV5" s="169"/>
      <c r="AW5" s="169"/>
      <c r="AX5" s="169" t="str">
        <f>IF(ISBLANK(str.1!AX5),"",str.1!AX5)</f>
        <v>-</v>
      </c>
      <c r="AY5" s="169"/>
      <c r="AZ5" s="169"/>
      <c r="BA5" s="169" t="str">
        <f>IF(ISBLANK(str.1!BA5),"",str.1!BA5)</f>
        <v>-</v>
      </c>
      <c r="BB5" s="169"/>
      <c r="BC5" s="169"/>
      <c r="BD5" s="169" t="str">
        <f>IF(ISBLANK(str.1!BD5),"",str.1!BD5)</f>
        <v>-</v>
      </c>
      <c r="BE5" s="169"/>
      <c r="BF5" s="169"/>
      <c r="BG5" s="169" t="str">
        <f>IF(ISBLANK(str.1!BG5),"",str.1!BG5)</f>
        <v>-</v>
      </c>
      <c r="BH5" s="169"/>
      <c r="BI5" s="169"/>
      <c r="BJ5" s="169" t="str">
        <f>IF(ISBLANK(str.1!BJ5),"",str.1!BJ5)</f>
        <v>-</v>
      </c>
      <c r="BK5" s="169"/>
      <c r="BL5" s="169"/>
      <c r="BM5" s="171" t="s">
        <v>4</v>
      </c>
      <c r="BN5" s="172"/>
      <c r="BO5" s="172"/>
      <c r="BP5" s="172"/>
      <c r="BQ5" s="172"/>
      <c r="BR5" s="173"/>
      <c r="BS5" s="86" t="s">
        <v>43</v>
      </c>
      <c r="BT5" s="86"/>
      <c r="BU5" s="86"/>
      <c r="BV5" s="86" t="s">
        <v>43</v>
      </c>
      <c r="BW5" s="86"/>
      <c r="BX5" s="86"/>
      <c r="BY5" s="86" t="s">
        <v>53</v>
      </c>
      <c r="BZ5" s="86"/>
      <c r="CA5" s="86"/>
      <c r="CB5" s="13"/>
      <c r="CC5" s="13"/>
      <c r="CD5" s="13"/>
      <c r="CE5" s="13"/>
      <c r="CF5" s="13"/>
      <c r="CG5" s="13"/>
      <c r="CH5" s="13"/>
      <c r="CI5" s="13"/>
      <c r="CJ5" s="5"/>
      <c r="CK5" s="5"/>
      <c r="CL5" s="7"/>
      <c r="CM5" s="7"/>
      <c r="CN5" s="7"/>
      <c r="CO5" s="7"/>
      <c r="CP5" s="7"/>
      <c r="CQ5" s="7"/>
      <c r="CR5" s="7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5"/>
      <c r="DS5" s="41"/>
      <c r="DT5" s="41"/>
      <c r="DU5" s="41"/>
      <c r="DV5" s="41"/>
      <c r="DW5" s="41"/>
      <c r="DX5" s="41"/>
      <c r="DY5" s="41"/>
    </row>
    <row r="6" spans="1:129" s="2" customFormat="1" ht="11.25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8"/>
      <c r="CL6" s="28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43"/>
      <c r="DT6" s="43"/>
      <c r="DU6" s="43"/>
      <c r="DV6" s="43"/>
      <c r="DW6" s="43"/>
      <c r="DX6" s="43"/>
      <c r="DY6" s="43"/>
    </row>
    <row r="7" spans="1:129" s="3" customFormat="1" ht="9" customHeight="1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45"/>
      <c r="DT7" s="45"/>
      <c r="DU7" s="45"/>
      <c r="DV7" s="45"/>
      <c r="DW7" s="45"/>
      <c r="DX7" s="45"/>
      <c r="DY7" s="45"/>
    </row>
    <row r="8" spans="1:129" ht="15.9" customHeight="1" x14ac:dyDescent="0.25">
      <c r="A8" s="20"/>
      <c r="B8" s="194" t="s">
        <v>147</v>
      </c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4"/>
      <c r="AC8" s="194"/>
      <c r="AD8" s="194"/>
      <c r="AE8" s="194"/>
      <c r="AF8" s="194"/>
      <c r="AG8" s="194"/>
      <c r="AH8" s="194"/>
      <c r="AI8" s="194"/>
      <c r="AJ8" s="194"/>
      <c r="AK8" s="194"/>
      <c r="AL8" s="194"/>
      <c r="AM8" s="194"/>
      <c r="AN8" s="194"/>
      <c r="AO8" s="194"/>
      <c r="AP8" s="194"/>
      <c r="AQ8" s="194"/>
      <c r="AR8" s="194"/>
      <c r="AS8" s="194"/>
      <c r="AT8" s="194"/>
      <c r="AU8" s="194"/>
      <c r="AV8" s="194"/>
      <c r="AW8" s="194"/>
      <c r="AX8" s="194"/>
      <c r="AY8" s="194"/>
      <c r="AZ8" s="194"/>
      <c r="BA8" s="194"/>
      <c r="BB8" s="194"/>
      <c r="BC8" s="194"/>
      <c r="BD8" s="194"/>
      <c r="BE8" s="194"/>
      <c r="BF8" s="194"/>
      <c r="BG8" s="194"/>
      <c r="BH8" s="194"/>
      <c r="BI8" s="194"/>
      <c r="BJ8" s="194"/>
      <c r="BK8" s="194"/>
      <c r="BL8" s="194"/>
      <c r="BM8" s="194"/>
      <c r="BN8" s="194"/>
      <c r="BO8" s="194"/>
      <c r="BP8" s="194"/>
      <c r="BQ8" s="194"/>
      <c r="BR8" s="194"/>
      <c r="BS8" s="194"/>
      <c r="BT8" s="194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  <c r="DA8" s="194"/>
      <c r="DB8" s="194"/>
      <c r="DC8" s="194"/>
      <c r="DD8" s="194"/>
      <c r="DE8" s="194"/>
      <c r="DF8" s="194"/>
      <c r="DG8" s="194"/>
      <c r="DH8" s="194"/>
      <c r="DI8" s="194"/>
      <c r="DJ8" s="194"/>
      <c r="DK8" s="194"/>
      <c r="DL8" s="194"/>
      <c r="DM8" s="194"/>
      <c r="DN8" s="194"/>
      <c r="DO8" s="194"/>
      <c r="DP8" s="194"/>
      <c r="DQ8" s="194"/>
      <c r="DR8" s="20"/>
      <c r="DS8" s="40"/>
      <c r="DT8" s="40"/>
      <c r="DU8" s="40"/>
      <c r="DV8" s="40"/>
      <c r="DW8" s="40"/>
      <c r="DX8" s="40"/>
      <c r="DY8" s="40"/>
    </row>
    <row r="9" spans="1:129" ht="12.6" x14ac:dyDescent="0.25">
      <c r="A9" s="20"/>
      <c r="B9" s="170" t="s">
        <v>79</v>
      </c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0"/>
      <c r="W9" s="170"/>
      <c r="X9" s="170"/>
      <c r="Y9" s="170"/>
      <c r="Z9" s="170"/>
      <c r="AA9" s="170"/>
      <c r="AB9" s="170"/>
      <c r="AC9" s="170"/>
      <c r="AD9" s="170"/>
      <c r="AE9" s="170"/>
      <c r="AF9" s="170"/>
      <c r="AG9" s="170"/>
      <c r="AH9" s="170"/>
      <c r="AI9" s="170"/>
      <c r="AJ9" s="170"/>
      <c r="AK9" s="170"/>
      <c r="AL9" s="170"/>
      <c r="AM9" s="170"/>
      <c r="AN9" s="170"/>
      <c r="AO9" s="170"/>
      <c r="AP9" s="170"/>
      <c r="AQ9" s="170"/>
      <c r="AR9" s="170"/>
      <c r="AS9" s="170"/>
      <c r="AT9" s="170"/>
      <c r="AU9" s="170"/>
      <c r="AV9" s="170"/>
      <c r="AW9" s="170"/>
      <c r="AX9" s="170"/>
      <c r="AY9" s="170"/>
      <c r="AZ9" s="170"/>
      <c r="BA9" s="170"/>
      <c r="BB9" s="170"/>
      <c r="BC9" s="170"/>
      <c r="BD9" s="170"/>
      <c r="BE9" s="170"/>
      <c r="BF9" s="170"/>
      <c r="BG9" s="170"/>
      <c r="BH9" s="170"/>
      <c r="BI9" s="170"/>
      <c r="BJ9" s="170"/>
      <c r="BK9" s="170"/>
      <c r="BL9" s="170"/>
      <c r="BM9" s="170"/>
      <c r="BN9" s="170"/>
      <c r="BO9" s="170"/>
      <c r="BP9" s="170"/>
      <c r="BQ9" s="170"/>
      <c r="BR9" s="170"/>
      <c r="BS9" s="170"/>
      <c r="BT9" s="170"/>
      <c r="BU9" s="170"/>
      <c r="BV9" s="170"/>
      <c r="BW9" s="170"/>
      <c r="BX9" s="170"/>
      <c r="BY9" s="170"/>
      <c r="BZ9" s="170"/>
      <c r="CA9" s="170"/>
      <c r="CB9" s="170"/>
      <c r="CC9" s="170"/>
      <c r="CD9" s="170"/>
      <c r="CE9" s="170"/>
      <c r="CF9" s="170"/>
      <c r="CG9" s="170"/>
      <c r="CH9" s="170"/>
      <c r="CI9" s="170"/>
      <c r="CJ9" s="170"/>
      <c r="CK9" s="170"/>
      <c r="CL9" s="170"/>
      <c r="CM9" s="170"/>
      <c r="CN9" s="170"/>
      <c r="CO9" s="170"/>
      <c r="CP9" s="170"/>
      <c r="CQ9" s="170"/>
      <c r="CR9" s="170"/>
      <c r="CS9" s="170"/>
      <c r="CT9" s="170"/>
      <c r="CU9" s="170"/>
      <c r="CV9" s="170"/>
      <c r="CW9" s="170"/>
      <c r="CX9" s="170"/>
      <c r="CY9" s="170"/>
      <c r="CZ9" s="170"/>
      <c r="DA9" s="170"/>
      <c r="DB9" s="170"/>
      <c r="DC9" s="170"/>
      <c r="DD9" s="170"/>
      <c r="DE9" s="170"/>
      <c r="DF9" s="170"/>
      <c r="DG9" s="170"/>
      <c r="DH9" s="170"/>
      <c r="DI9" s="170"/>
      <c r="DJ9" s="170"/>
      <c r="DK9" s="170"/>
      <c r="DL9" s="170"/>
      <c r="DM9" s="170"/>
      <c r="DN9" s="170"/>
      <c r="DO9" s="170"/>
      <c r="DP9" s="170"/>
      <c r="DQ9" s="170"/>
      <c r="DR9" s="20"/>
      <c r="DS9" s="40"/>
      <c r="DT9" s="40"/>
      <c r="DU9" s="40"/>
      <c r="DV9" s="40"/>
      <c r="DW9" s="40"/>
      <c r="DX9" s="40"/>
      <c r="DY9" s="40"/>
    </row>
    <row r="10" spans="1:129" ht="12.6" x14ac:dyDescent="0.25">
      <c r="A10" s="20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170"/>
      <c r="BG10" s="170"/>
      <c r="BH10" s="170"/>
      <c r="BI10" s="170"/>
      <c r="BJ10" s="170"/>
      <c r="BK10" s="170"/>
      <c r="BL10" s="170"/>
      <c r="BM10" s="170"/>
      <c r="BN10" s="170"/>
      <c r="BO10" s="170"/>
      <c r="BP10" s="170"/>
      <c r="BQ10" s="170"/>
      <c r="BR10" s="170"/>
      <c r="BS10" s="170"/>
      <c r="BT10" s="170"/>
      <c r="BU10" s="170"/>
      <c r="BV10" s="170"/>
      <c r="BW10" s="170"/>
      <c r="BX10" s="170"/>
      <c r="BY10" s="170"/>
      <c r="BZ10" s="170"/>
      <c r="CA10" s="170"/>
      <c r="CB10" s="170"/>
      <c r="CC10" s="170"/>
      <c r="CD10" s="170"/>
      <c r="CE10" s="170"/>
      <c r="CF10" s="170"/>
      <c r="CG10" s="170"/>
      <c r="CH10" s="170"/>
      <c r="CI10" s="170"/>
      <c r="CJ10" s="170"/>
      <c r="CK10" s="170"/>
      <c r="CL10" s="170"/>
      <c r="CM10" s="170"/>
      <c r="CN10" s="170"/>
      <c r="CO10" s="170"/>
      <c r="CP10" s="170"/>
      <c r="CQ10" s="170"/>
      <c r="CR10" s="170"/>
      <c r="CS10" s="170"/>
      <c r="CT10" s="170"/>
      <c r="CU10" s="170"/>
      <c r="CV10" s="170"/>
      <c r="CW10" s="170"/>
      <c r="CX10" s="170"/>
      <c r="CY10" s="170"/>
      <c r="CZ10" s="170"/>
      <c r="DA10" s="170"/>
      <c r="DB10" s="170"/>
      <c r="DC10" s="170"/>
      <c r="DD10" s="170"/>
      <c r="DE10" s="170"/>
      <c r="DF10" s="170"/>
      <c r="DG10" s="170"/>
      <c r="DH10" s="170"/>
      <c r="DI10" s="170"/>
      <c r="DJ10" s="170"/>
      <c r="DK10" s="170"/>
      <c r="DL10" s="170"/>
      <c r="DM10" s="170"/>
      <c r="DN10" s="170"/>
      <c r="DO10" s="170"/>
      <c r="DP10" s="170"/>
      <c r="DQ10" s="170"/>
      <c r="DR10" s="20"/>
      <c r="DS10" s="40"/>
      <c r="DT10" s="40"/>
      <c r="DU10" s="40"/>
      <c r="DV10" s="40"/>
      <c r="DW10" s="40"/>
      <c r="DX10" s="40"/>
      <c r="DY10" s="40"/>
    </row>
    <row r="11" spans="1:129" ht="20.25" customHeight="1" x14ac:dyDescent="0.2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35"/>
      <c r="DR11" s="20"/>
      <c r="DS11" s="40"/>
      <c r="DT11" s="40"/>
      <c r="DU11" s="40"/>
      <c r="DV11" s="40"/>
      <c r="DW11" s="40"/>
      <c r="DX11" s="40"/>
      <c r="DY11" s="40"/>
    </row>
    <row r="12" spans="1:129" ht="24.75" customHeight="1" x14ac:dyDescent="0.2">
      <c r="A12" s="20"/>
      <c r="B12" s="168" t="s">
        <v>31</v>
      </c>
      <c r="C12" s="168"/>
      <c r="D12" s="168"/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57"/>
      <c r="BN12" s="57"/>
      <c r="BO12" s="57"/>
      <c r="BP12" s="177" t="s">
        <v>30</v>
      </c>
      <c r="BQ12" s="177"/>
      <c r="BR12" s="177"/>
      <c r="BS12" s="177"/>
      <c r="BT12" s="177"/>
      <c r="BU12" s="177"/>
      <c r="BV12" s="177"/>
      <c r="BW12" s="177"/>
      <c r="BX12" s="57"/>
      <c r="BY12" s="57"/>
      <c r="BZ12" s="57"/>
      <c r="CA12" s="168" t="s">
        <v>68</v>
      </c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57"/>
      <c r="DM12" s="57"/>
      <c r="DN12" s="57"/>
      <c r="DO12" s="57"/>
      <c r="DP12" s="57"/>
      <c r="DQ12" s="57"/>
      <c r="DR12" s="20"/>
      <c r="DS12" s="40"/>
      <c r="DT12" s="40"/>
      <c r="DU12" s="40"/>
      <c r="DV12" s="40"/>
      <c r="DW12" s="40"/>
      <c r="DX12" s="40"/>
      <c r="DY12" s="40"/>
    </row>
    <row r="13" spans="1:129" ht="12.75" customHeight="1" x14ac:dyDescent="0.2">
      <c r="A13" s="20"/>
      <c r="B13" s="178">
        <v>1</v>
      </c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58"/>
      <c r="BN13" s="58"/>
      <c r="BO13" s="58"/>
      <c r="BP13" s="181">
        <v>2</v>
      </c>
      <c r="BQ13" s="181"/>
      <c r="BR13" s="181"/>
      <c r="BS13" s="181"/>
      <c r="BT13" s="181"/>
      <c r="BU13" s="181"/>
      <c r="BV13" s="181"/>
      <c r="BW13" s="181"/>
      <c r="BX13" s="58"/>
      <c r="BY13" s="58"/>
      <c r="BZ13" s="58"/>
      <c r="CA13" s="178">
        <v>3</v>
      </c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58"/>
      <c r="DM13" s="58"/>
      <c r="DN13" s="58"/>
      <c r="DO13" s="58"/>
      <c r="DP13" s="58"/>
      <c r="DQ13" s="58"/>
      <c r="DR13" s="20"/>
      <c r="DS13" s="40"/>
      <c r="DT13" s="40"/>
      <c r="DU13" s="40"/>
      <c r="DV13" s="40"/>
      <c r="DW13" s="40"/>
      <c r="DX13" s="40"/>
      <c r="DY13" s="40"/>
    </row>
    <row r="14" spans="1:129" ht="9" hidden="1" customHeight="1" x14ac:dyDescent="0.2">
      <c r="A14" s="20"/>
      <c r="B14" s="179" t="s">
        <v>77</v>
      </c>
      <c r="C14" s="179"/>
      <c r="D14" s="179"/>
      <c r="E14" s="179"/>
      <c r="F14" s="179"/>
      <c r="G14" s="179"/>
      <c r="H14" s="179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9"/>
      <c r="AA14" s="179"/>
      <c r="AB14" s="179"/>
      <c r="AC14" s="179"/>
      <c r="AD14" s="179"/>
      <c r="AE14" s="179"/>
      <c r="AF14" s="179"/>
      <c r="AG14" s="179"/>
      <c r="AH14" s="179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79"/>
      <c r="AW14" s="179"/>
      <c r="AX14" s="179"/>
      <c r="AY14" s="179"/>
      <c r="AZ14" s="179"/>
      <c r="BA14" s="179"/>
      <c r="BB14" s="179"/>
      <c r="BC14" s="179"/>
      <c r="BD14" s="179"/>
      <c r="BE14" s="179"/>
      <c r="BF14" s="179"/>
      <c r="BG14" s="179"/>
      <c r="BH14" s="179"/>
      <c r="BI14" s="179"/>
      <c r="BJ14" s="179"/>
      <c r="BK14" s="179"/>
      <c r="BL14" s="179"/>
      <c r="BM14" s="25"/>
      <c r="BN14" s="38"/>
      <c r="BO14" s="38"/>
      <c r="BP14" s="36"/>
      <c r="BQ14" s="36"/>
      <c r="BR14" s="36"/>
      <c r="BS14" s="36"/>
      <c r="BT14" s="36"/>
      <c r="BU14" s="36"/>
      <c r="BV14" s="36"/>
      <c r="BW14" s="36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20"/>
      <c r="DS14" s="40"/>
      <c r="DT14" s="40"/>
      <c r="DU14" s="40"/>
      <c r="DV14" s="40"/>
      <c r="DW14" s="40"/>
      <c r="DX14" s="40"/>
      <c r="DY14" s="40"/>
    </row>
    <row r="15" spans="1:129" ht="18" hidden="1" customHeight="1" x14ac:dyDescent="0.2">
      <c r="A15" s="20"/>
      <c r="B15" s="179"/>
      <c r="C15" s="179"/>
      <c r="D15" s="179"/>
      <c r="E15" s="179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79"/>
      <c r="AX15" s="179"/>
      <c r="AY15" s="179"/>
      <c r="AZ15" s="179"/>
      <c r="BA15" s="179"/>
      <c r="BB15" s="179"/>
      <c r="BC15" s="179"/>
      <c r="BD15" s="179"/>
      <c r="BE15" s="179"/>
      <c r="BF15" s="179"/>
      <c r="BG15" s="179"/>
      <c r="BH15" s="179"/>
      <c r="BI15" s="179"/>
      <c r="BJ15" s="179"/>
      <c r="BK15" s="179"/>
      <c r="BL15" s="179"/>
      <c r="BM15" s="25"/>
      <c r="BN15" s="37"/>
      <c r="BO15" s="37"/>
      <c r="BP15" s="157" t="s">
        <v>80</v>
      </c>
      <c r="BQ15" s="157"/>
      <c r="BR15" s="157"/>
      <c r="BS15" s="157"/>
      <c r="BT15" s="157"/>
      <c r="BU15" s="157"/>
      <c r="BV15" s="157"/>
      <c r="BW15" s="157"/>
      <c r="BX15" s="37"/>
      <c r="BY15" s="37"/>
      <c r="BZ15" s="37"/>
      <c r="CA15" s="37"/>
      <c r="CB15" s="180" t="s">
        <v>44</v>
      </c>
      <c r="CC15" s="180"/>
      <c r="CD15" s="180"/>
      <c r="CE15" s="37"/>
      <c r="CF15" s="37"/>
      <c r="CG15" s="37"/>
      <c r="CH15" s="37"/>
      <c r="CI15" s="37"/>
      <c r="CJ15" s="37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40"/>
      <c r="DT15" s="40"/>
      <c r="DU15" s="40"/>
      <c r="DV15" s="40"/>
      <c r="DW15" s="40"/>
      <c r="DX15" s="40"/>
      <c r="DY15" s="40"/>
    </row>
    <row r="16" spans="1:129" ht="15.75" hidden="1" customHeight="1" x14ac:dyDescent="0.2">
      <c r="A16" s="20"/>
      <c r="B16" s="179"/>
      <c r="C16" s="179"/>
      <c r="D16" s="179"/>
      <c r="E16" s="179"/>
      <c r="F16" s="179"/>
      <c r="G16" s="179"/>
      <c r="H16" s="179"/>
      <c r="I16" s="179"/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25"/>
      <c r="BN16" s="37"/>
      <c r="BO16" s="37"/>
      <c r="BP16" s="20"/>
      <c r="BQ16" s="20"/>
      <c r="BR16" s="20"/>
      <c r="BS16" s="20"/>
      <c r="BT16" s="20"/>
      <c r="BU16" s="20"/>
      <c r="BV16" s="20"/>
      <c r="BW16" s="20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40"/>
      <c r="DT16" s="40"/>
      <c r="DU16" s="40"/>
      <c r="DV16" s="40"/>
      <c r="DW16" s="40"/>
      <c r="DX16" s="40"/>
      <c r="DY16" s="40"/>
    </row>
    <row r="17" spans="1:129" ht="12" customHeight="1" x14ac:dyDescent="0.2">
      <c r="A17" s="20"/>
      <c r="B17" s="23" t="s">
        <v>81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56"/>
      <c r="BN17" s="56"/>
      <c r="BO17" s="56"/>
      <c r="BP17" s="55"/>
      <c r="BQ17" s="55"/>
      <c r="BR17" s="55"/>
      <c r="BS17" s="55"/>
      <c r="BT17" s="55"/>
      <c r="BU17" s="55"/>
      <c r="BV17" s="55"/>
      <c r="BW17" s="55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40"/>
      <c r="DT17" s="40"/>
      <c r="DU17" s="40"/>
      <c r="DV17" s="40"/>
      <c r="DW17" s="40"/>
      <c r="DX17" s="40"/>
      <c r="DY17" s="40"/>
    </row>
    <row r="18" spans="1:129" ht="9" customHeight="1" x14ac:dyDescent="0.2">
      <c r="A18" s="20"/>
      <c r="B18" s="26" t="s">
        <v>85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56"/>
      <c r="BN18" s="56"/>
      <c r="BO18" s="56"/>
      <c r="BP18" s="157" t="s">
        <v>123</v>
      </c>
      <c r="BQ18" s="157"/>
      <c r="BR18" s="157"/>
      <c r="BS18" s="157"/>
      <c r="BT18" s="157"/>
      <c r="BU18" s="157"/>
      <c r="BV18" s="157"/>
      <c r="BW18" s="157"/>
      <c r="BX18" s="37"/>
      <c r="BY18" s="37"/>
      <c r="BZ18" s="37"/>
      <c r="CA18" s="37"/>
      <c r="CB18" s="147" t="s">
        <v>55</v>
      </c>
      <c r="CC18" s="148"/>
      <c r="CD18" s="149"/>
      <c r="CE18" s="56"/>
      <c r="CF18" s="56"/>
      <c r="CG18" s="56"/>
      <c r="CH18" s="56"/>
      <c r="CI18" s="56"/>
      <c r="CJ18" s="56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40"/>
      <c r="DT18" s="40"/>
      <c r="DU18" s="40"/>
      <c r="DV18" s="40"/>
      <c r="DW18" s="40"/>
      <c r="DX18" s="40"/>
      <c r="DY18" s="40"/>
    </row>
    <row r="19" spans="1:129" ht="9" customHeight="1" x14ac:dyDescent="0.2">
      <c r="A19" s="20"/>
      <c r="B19" s="26" t="s">
        <v>82</v>
      </c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56"/>
      <c r="BN19" s="56"/>
      <c r="BO19" s="56"/>
      <c r="BP19" s="157"/>
      <c r="BQ19" s="157"/>
      <c r="BR19" s="157"/>
      <c r="BS19" s="157"/>
      <c r="BT19" s="157"/>
      <c r="BU19" s="157"/>
      <c r="BV19" s="157"/>
      <c r="BW19" s="157"/>
      <c r="BX19" s="56"/>
      <c r="BY19" s="56"/>
      <c r="BZ19" s="56"/>
      <c r="CA19" s="56"/>
      <c r="CB19" s="150"/>
      <c r="CC19" s="151"/>
      <c r="CD19" s="152"/>
      <c r="CE19" s="56"/>
      <c r="CF19" s="56"/>
      <c r="CG19" s="56"/>
      <c r="CH19" s="56"/>
      <c r="CI19" s="56"/>
      <c r="CJ19" s="56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40"/>
      <c r="DT19" s="40"/>
      <c r="DU19" s="40"/>
      <c r="DV19" s="40"/>
      <c r="DW19" s="40"/>
      <c r="DX19" s="40"/>
      <c r="DY19" s="40"/>
    </row>
    <row r="20" spans="1:129" ht="12" customHeight="1" x14ac:dyDescent="0.2">
      <c r="A20" s="20"/>
      <c r="B20" s="26" t="s">
        <v>83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56"/>
      <c r="BN20" s="56"/>
      <c r="BO20" s="56"/>
      <c r="BP20" s="55"/>
      <c r="BQ20" s="55"/>
      <c r="BR20" s="55"/>
      <c r="BS20" s="55"/>
      <c r="BT20" s="55"/>
      <c r="BU20" s="55"/>
      <c r="BV20" s="55"/>
      <c r="BW20" s="55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1"/>
      <c r="CL20" s="51"/>
      <c r="CM20" s="51"/>
      <c r="CN20" s="51"/>
      <c r="CO20" s="51"/>
      <c r="CP20" s="51"/>
      <c r="CQ20" s="51"/>
      <c r="CR20" s="51"/>
      <c r="CS20" s="51"/>
      <c r="CT20" s="51"/>
      <c r="CU20" s="51"/>
      <c r="CV20" s="51"/>
      <c r="CW20" s="51"/>
      <c r="CX20" s="51"/>
      <c r="CY20" s="51"/>
      <c r="CZ20" s="51"/>
      <c r="DA20" s="51"/>
      <c r="DB20" s="51"/>
      <c r="DC20" s="51"/>
      <c r="DD20" s="51"/>
      <c r="DE20" s="51"/>
      <c r="DF20" s="51"/>
      <c r="DG20" s="51"/>
      <c r="DH20" s="51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40"/>
      <c r="DT20" s="40"/>
      <c r="DU20" s="40"/>
      <c r="DV20" s="40"/>
      <c r="DW20" s="40"/>
      <c r="DX20" s="40"/>
      <c r="DY20" s="40"/>
    </row>
    <row r="21" spans="1:129" ht="12" customHeight="1" x14ac:dyDescent="0.2">
      <c r="A21" s="20"/>
      <c r="B21" s="26" t="s">
        <v>84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56"/>
      <c r="BN21" s="56"/>
      <c r="BO21" s="56"/>
      <c r="BP21" s="55"/>
      <c r="BQ21" s="55"/>
      <c r="BR21" s="55"/>
      <c r="BS21" s="55"/>
      <c r="BT21" s="55"/>
      <c r="BU21" s="55"/>
      <c r="BV21" s="55"/>
      <c r="BW21" s="55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1"/>
      <c r="CL21" s="51"/>
      <c r="CM21" s="51"/>
      <c r="CN21" s="51"/>
      <c r="CO21" s="51"/>
      <c r="CP21" s="51"/>
      <c r="CQ21" s="51"/>
      <c r="CR21" s="51"/>
      <c r="CS21" s="51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1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40"/>
      <c r="DT21" s="40"/>
      <c r="DU21" s="40"/>
      <c r="DV21" s="40"/>
      <c r="DW21" s="40"/>
      <c r="DX21" s="40"/>
      <c r="DY21" s="40"/>
    </row>
    <row r="22" spans="1:129" ht="15" customHeight="1" x14ac:dyDescent="0.2">
      <c r="A22" s="20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56"/>
      <c r="BN22" s="56"/>
      <c r="BO22" s="56"/>
      <c r="BP22" s="16"/>
      <c r="BQ22" s="16"/>
      <c r="BR22" s="16"/>
      <c r="BS22" s="16"/>
      <c r="BT22" s="16"/>
      <c r="BU22" s="16"/>
      <c r="BV22" s="16"/>
      <c r="BW22" s="16"/>
      <c r="BX22" s="56"/>
      <c r="BY22" s="56"/>
      <c r="BZ22" s="56"/>
      <c r="CA22" s="56"/>
      <c r="CB22" s="54"/>
      <c r="CC22" s="54"/>
      <c r="CD22" s="54"/>
      <c r="CE22" s="54"/>
      <c r="CF22" s="54"/>
      <c r="CG22" s="54"/>
      <c r="CH22" s="54"/>
      <c r="CI22" s="54"/>
      <c r="CJ22" s="54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40"/>
      <c r="DT22" s="40"/>
      <c r="DU22" s="40"/>
      <c r="DV22" s="40"/>
      <c r="DW22" s="40"/>
      <c r="DX22" s="40"/>
      <c r="DY22" s="40"/>
    </row>
    <row r="23" spans="1:129" ht="12" customHeight="1" x14ac:dyDescent="0.2">
      <c r="A23" s="20"/>
      <c r="B23" s="112" t="s">
        <v>86</v>
      </c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2"/>
      <c r="AP23" s="112"/>
      <c r="AQ23" s="112"/>
      <c r="AR23" s="112"/>
      <c r="AS23" s="112"/>
      <c r="AT23" s="112"/>
      <c r="AU23" s="112"/>
      <c r="AV23" s="112"/>
      <c r="AW23" s="112"/>
      <c r="AX23" s="112"/>
      <c r="AY23" s="112"/>
      <c r="AZ23" s="112"/>
      <c r="BA23" s="112"/>
      <c r="BB23" s="112"/>
      <c r="BC23" s="112"/>
      <c r="BD23" s="112"/>
      <c r="BE23" s="112"/>
      <c r="BF23" s="112"/>
      <c r="BG23" s="112"/>
      <c r="BH23" s="112"/>
      <c r="BI23" s="112"/>
      <c r="BJ23" s="112"/>
      <c r="BK23" s="112"/>
      <c r="BL23" s="112"/>
      <c r="BM23" s="112"/>
      <c r="BN23" s="112"/>
      <c r="BO23" s="112"/>
      <c r="BP23" s="20"/>
      <c r="BQ23" s="20"/>
      <c r="BR23" s="20"/>
      <c r="BS23" s="20"/>
      <c r="BT23" s="20"/>
      <c r="BU23" s="20"/>
      <c r="BV23" s="20"/>
      <c r="BW23" s="20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20"/>
      <c r="CL23" s="20"/>
      <c r="CM23" s="20"/>
      <c r="CN23" s="20"/>
      <c r="CO23" s="20"/>
      <c r="CP23" s="20"/>
      <c r="CQ23" s="20"/>
      <c r="CR23" s="20"/>
      <c r="CS23" s="20"/>
      <c r="CT23" s="20"/>
      <c r="CU23" s="20"/>
      <c r="CV23" s="20"/>
      <c r="CW23" s="20"/>
      <c r="CX23" s="20"/>
      <c r="CY23" s="20"/>
      <c r="CZ23" s="20"/>
      <c r="DA23" s="20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40"/>
      <c r="DT23" s="40"/>
      <c r="DU23" s="40"/>
      <c r="DV23" s="40"/>
      <c r="DW23" s="40"/>
      <c r="DX23" s="40"/>
      <c r="DY23" s="40"/>
    </row>
    <row r="24" spans="1:129" ht="12" customHeight="1" x14ac:dyDescent="0.2">
      <c r="A24" s="20"/>
      <c r="B24" s="153" t="s">
        <v>87</v>
      </c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  <c r="AH24" s="153"/>
      <c r="AI24" s="153"/>
      <c r="AJ24" s="153"/>
      <c r="AK24" s="153"/>
      <c r="AL24" s="153"/>
      <c r="AM24" s="153"/>
      <c r="AN24" s="153"/>
      <c r="AO24" s="153"/>
      <c r="AP24" s="153"/>
      <c r="AQ24" s="153"/>
      <c r="AR24" s="153"/>
      <c r="AS24" s="153"/>
      <c r="AT24" s="153"/>
      <c r="AU24" s="153"/>
      <c r="AV24" s="153"/>
      <c r="AW24" s="153"/>
      <c r="AX24" s="153"/>
      <c r="AY24" s="153"/>
      <c r="AZ24" s="153"/>
      <c r="BA24" s="153"/>
      <c r="BB24" s="153"/>
      <c r="BC24" s="153"/>
      <c r="BD24" s="153"/>
      <c r="BE24" s="153"/>
      <c r="BF24" s="153"/>
      <c r="BG24" s="153"/>
      <c r="BH24" s="153"/>
      <c r="BI24" s="153"/>
      <c r="BJ24" s="153"/>
      <c r="BK24" s="153"/>
      <c r="BL24" s="153"/>
      <c r="BM24" s="153"/>
      <c r="BN24" s="153"/>
      <c r="BO24" s="153"/>
      <c r="BP24" s="20"/>
      <c r="BQ24" s="20"/>
      <c r="BR24" s="20"/>
      <c r="BS24" s="20"/>
      <c r="BT24" s="20"/>
      <c r="BU24" s="20"/>
      <c r="BV24" s="20"/>
      <c r="BW24" s="20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40"/>
      <c r="DT24" s="40"/>
      <c r="DU24" s="40"/>
      <c r="DV24" s="40"/>
      <c r="DW24" s="40"/>
      <c r="DX24" s="40"/>
      <c r="DY24" s="40"/>
    </row>
    <row r="25" spans="1:129" ht="12" customHeight="1" x14ac:dyDescent="0.2">
      <c r="A25" s="20"/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2"/>
      <c r="AJ25" s="112"/>
      <c r="AK25" s="112"/>
      <c r="AL25" s="112"/>
      <c r="AM25" s="112"/>
      <c r="AN25" s="112"/>
      <c r="AO25" s="112"/>
      <c r="AP25" s="112"/>
      <c r="AQ25" s="112"/>
      <c r="AR25" s="112"/>
      <c r="AS25" s="112"/>
      <c r="AT25" s="112"/>
      <c r="AU25" s="112"/>
      <c r="AV25" s="112"/>
      <c r="AW25" s="112"/>
      <c r="AX25" s="112"/>
      <c r="AY25" s="112"/>
      <c r="AZ25" s="112"/>
      <c r="BA25" s="112"/>
      <c r="BB25" s="112"/>
      <c r="BC25" s="112"/>
      <c r="BD25" s="112"/>
      <c r="BE25" s="112"/>
      <c r="BF25" s="112"/>
      <c r="BG25" s="112"/>
      <c r="BH25" s="112"/>
      <c r="BI25" s="112"/>
      <c r="BJ25" s="112"/>
      <c r="BK25" s="112"/>
      <c r="BL25" s="112"/>
      <c r="BM25" s="112"/>
      <c r="BN25" s="112"/>
      <c r="BO25" s="112"/>
      <c r="BP25" s="20"/>
      <c r="BQ25" s="20"/>
      <c r="BR25" s="20"/>
      <c r="BS25" s="20"/>
      <c r="BT25" s="20"/>
      <c r="BU25" s="20"/>
      <c r="BV25" s="20"/>
      <c r="BW25" s="20"/>
      <c r="BX25" s="37"/>
      <c r="BY25" s="37"/>
      <c r="BZ25" s="37"/>
      <c r="CA25" s="37"/>
      <c r="CB25" s="37"/>
      <c r="CC25" s="37"/>
      <c r="CD25" s="37"/>
      <c r="CE25" s="37"/>
      <c r="CF25" s="37"/>
      <c r="CG25" s="37"/>
      <c r="CH25" s="37"/>
      <c r="CI25" s="37"/>
      <c r="CJ25" s="37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40"/>
      <c r="DT25" s="40"/>
      <c r="DU25" s="40"/>
      <c r="DV25" s="40"/>
      <c r="DW25" s="40"/>
      <c r="DX25" s="40"/>
      <c r="DY25" s="40"/>
    </row>
    <row r="26" spans="1:129" ht="18" customHeight="1" x14ac:dyDescent="0.2">
      <c r="A26" s="20"/>
      <c r="B26" s="112" t="s">
        <v>88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  <c r="BA26" s="112"/>
      <c r="BB26" s="112"/>
      <c r="BC26" s="112"/>
      <c r="BD26" s="112"/>
      <c r="BE26" s="112"/>
      <c r="BF26" s="112"/>
      <c r="BG26" s="112"/>
      <c r="BH26" s="112"/>
      <c r="BI26" s="112"/>
      <c r="BJ26" s="112"/>
      <c r="BK26" s="112"/>
      <c r="BL26" s="112"/>
      <c r="BM26" s="112"/>
      <c r="BN26" s="112"/>
      <c r="BO26" s="112"/>
      <c r="BP26" s="157" t="s">
        <v>73</v>
      </c>
      <c r="BQ26" s="157"/>
      <c r="BR26" s="157"/>
      <c r="BS26" s="157"/>
      <c r="BT26" s="157"/>
      <c r="BU26" s="157"/>
      <c r="BV26" s="157"/>
      <c r="BW26" s="157"/>
      <c r="BX26" s="56"/>
      <c r="BY26" s="56"/>
      <c r="BZ26" s="56"/>
      <c r="CA26" s="56"/>
      <c r="CB26" s="189" t="s">
        <v>151</v>
      </c>
      <c r="CC26" s="190"/>
      <c r="CD26" s="191"/>
      <c r="CE26" s="189" t="s">
        <v>43</v>
      </c>
      <c r="CF26" s="190"/>
      <c r="CG26" s="191"/>
      <c r="CH26" s="189" t="s">
        <v>55</v>
      </c>
      <c r="CI26" s="190"/>
      <c r="CJ26" s="191"/>
      <c r="CK26" s="189" t="s">
        <v>153</v>
      </c>
      <c r="CL26" s="190"/>
      <c r="CM26" s="191"/>
      <c r="CN26" s="189" t="s">
        <v>44</v>
      </c>
      <c r="CO26" s="190"/>
      <c r="CP26" s="191"/>
      <c r="CQ26" s="189" t="s">
        <v>44</v>
      </c>
      <c r="CR26" s="190"/>
      <c r="CS26" s="191"/>
      <c r="CT26" s="189" t="s">
        <v>169</v>
      </c>
      <c r="CU26" s="190"/>
      <c r="CV26" s="191"/>
      <c r="CW26" s="189" t="s">
        <v>169</v>
      </c>
      <c r="CX26" s="190"/>
      <c r="CY26" s="191"/>
      <c r="CZ26" s="189" t="s">
        <v>169</v>
      </c>
      <c r="DA26" s="190"/>
      <c r="DB26" s="191"/>
      <c r="DC26" s="189" t="s">
        <v>169</v>
      </c>
      <c r="DD26" s="190"/>
      <c r="DE26" s="191"/>
      <c r="DF26" s="189" t="s">
        <v>169</v>
      </c>
      <c r="DG26" s="190"/>
      <c r="DH26" s="191"/>
      <c r="DI26" s="189" t="s">
        <v>169</v>
      </c>
      <c r="DJ26" s="190"/>
      <c r="DK26" s="191"/>
      <c r="DL26" s="56"/>
      <c r="DM26" s="56"/>
      <c r="DN26" s="56"/>
      <c r="DO26" s="56"/>
      <c r="DP26" s="56"/>
      <c r="DQ26" s="56"/>
      <c r="DR26" s="20"/>
      <c r="DS26" s="40"/>
      <c r="DT26" s="40"/>
      <c r="DU26" s="40"/>
      <c r="DV26" s="40"/>
      <c r="DW26" s="40"/>
      <c r="DX26" s="40"/>
      <c r="DY26" s="40"/>
    </row>
    <row r="27" spans="1:129" ht="15" customHeight="1" x14ac:dyDescent="0.2">
      <c r="A27" s="20"/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/>
      <c r="AD27" s="153"/>
      <c r="AE27" s="153"/>
      <c r="AF27" s="153"/>
      <c r="AG27" s="153"/>
      <c r="AH27" s="153"/>
      <c r="AI27" s="153"/>
      <c r="AJ27" s="153"/>
      <c r="AK27" s="153"/>
      <c r="AL27" s="153"/>
      <c r="AM27" s="153"/>
      <c r="AN27" s="153"/>
      <c r="AO27" s="153"/>
      <c r="AP27" s="153"/>
      <c r="AQ27" s="153"/>
      <c r="AR27" s="153"/>
      <c r="AS27" s="153"/>
      <c r="AT27" s="153"/>
      <c r="AU27" s="153"/>
      <c r="AV27" s="153"/>
      <c r="AW27" s="153"/>
      <c r="AX27" s="153"/>
      <c r="AY27" s="153"/>
      <c r="AZ27" s="153"/>
      <c r="BA27" s="153"/>
      <c r="BB27" s="153"/>
      <c r="BC27" s="153"/>
      <c r="BD27" s="153"/>
      <c r="BE27" s="153"/>
      <c r="BF27" s="153"/>
      <c r="BG27" s="153"/>
      <c r="BH27" s="153"/>
      <c r="BI27" s="153"/>
      <c r="BJ27" s="153"/>
      <c r="BK27" s="153"/>
      <c r="BL27" s="153"/>
      <c r="BM27" s="153"/>
      <c r="BN27" s="153"/>
      <c r="BO27" s="153"/>
      <c r="BP27" s="20"/>
      <c r="BQ27" s="20"/>
      <c r="BR27" s="20"/>
      <c r="BS27" s="20"/>
      <c r="BT27" s="20"/>
      <c r="BU27" s="20"/>
      <c r="BV27" s="20"/>
      <c r="BW27" s="20"/>
      <c r="BX27" s="37"/>
      <c r="BY27" s="37"/>
      <c r="BZ27" s="37"/>
      <c r="CA27" s="37"/>
      <c r="CB27" s="37"/>
      <c r="CC27" s="37"/>
      <c r="CD27" s="37"/>
      <c r="CE27" s="37"/>
      <c r="CF27" s="37"/>
      <c r="CG27" s="37"/>
      <c r="CH27" s="37"/>
      <c r="CI27" s="37"/>
      <c r="CJ27" s="37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40"/>
      <c r="DT27" s="40"/>
      <c r="DU27" s="40"/>
      <c r="DV27" s="40"/>
      <c r="DW27" s="40"/>
      <c r="DX27" s="40"/>
      <c r="DY27" s="40"/>
    </row>
    <row r="28" spans="1:129" ht="18" customHeight="1" x14ac:dyDescent="0.2">
      <c r="A28" s="20"/>
      <c r="B28" s="112" t="s">
        <v>89</v>
      </c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2"/>
      <c r="AJ28" s="112"/>
      <c r="AK28" s="112"/>
      <c r="AL28" s="112"/>
      <c r="AM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X28" s="112"/>
      <c r="AY28" s="112"/>
      <c r="AZ28" s="112"/>
      <c r="BA28" s="112"/>
      <c r="BB28" s="112"/>
      <c r="BC28" s="112"/>
      <c r="BD28" s="112"/>
      <c r="BE28" s="112"/>
      <c r="BF28" s="112"/>
      <c r="BG28" s="112"/>
      <c r="BH28" s="112"/>
      <c r="BI28" s="112"/>
      <c r="BJ28" s="112"/>
      <c r="BK28" s="112"/>
      <c r="BL28" s="112"/>
      <c r="BM28" s="112"/>
      <c r="BN28" s="112"/>
      <c r="BO28" s="112"/>
      <c r="BP28" s="157" t="s">
        <v>90</v>
      </c>
      <c r="BQ28" s="157"/>
      <c r="BR28" s="157"/>
      <c r="BS28" s="157"/>
      <c r="BT28" s="157"/>
      <c r="BU28" s="157"/>
      <c r="BV28" s="157"/>
      <c r="BW28" s="157"/>
      <c r="BX28" s="56"/>
      <c r="BY28" s="56"/>
      <c r="BZ28" s="56"/>
      <c r="CA28" s="56"/>
      <c r="CB28" s="158" t="s">
        <v>44</v>
      </c>
      <c r="CC28" s="158"/>
      <c r="CD28" s="158"/>
      <c r="CE28" s="158" t="s">
        <v>54</v>
      </c>
      <c r="CF28" s="158"/>
      <c r="CG28" s="158"/>
      <c r="CH28" s="158" t="s">
        <v>153</v>
      </c>
      <c r="CI28" s="158"/>
      <c r="CJ28" s="158"/>
      <c r="CK28" s="86" t="s">
        <v>55</v>
      </c>
      <c r="CL28" s="86"/>
      <c r="CM28" s="86"/>
      <c r="CN28" s="86" t="s">
        <v>53</v>
      </c>
      <c r="CO28" s="86"/>
      <c r="CP28" s="86"/>
      <c r="CQ28" s="86" t="s">
        <v>151</v>
      </c>
      <c r="CR28" s="86"/>
      <c r="CS28" s="86"/>
      <c r="CT28" s="86" t="s">
        <v>151</v>
      </c>
      <c r="CU28" s="86"/>
      <c r="CV28" s="86"/>
      <c r="CW28" s="86" t="s">
        <v>169</v>
      </c>
      <c r="CX28" s="86"/>
      <c r="CY28" s="86"/>
      <c r="CZ28" s="86" t="s">
        <v>169</v>
      </c>
      <c r="DA28" s="86"/>
      <c r="DB28" s="86"/>
      <c r="DC28" s="86" t="s">
        <v>169</v>
      </c>
      <c r="DD28" s="86"/>
      <c r="DE28" s="86"/>
      <c r="DF28" s="86" t="s">
        <v>169</v>
      </c>
      <c r="DG28" s="86"/>
      <c r="DH28" s="86"/>
      <c r="DI28" s="86" t="s">
        <v>169</v>
      </c>
      <c r="DJ28" s="86"/>
      <c r="DK28" s="86"/>
      <c r="DL28" s="20"/>
      <c r="DM28" s="20"/>
      <c r="DN28" s="20"/>
      <c r="DO28" s="20"/>
      <c r="DP28" s="20"/>
      <c r="DQ28" s="20"/>
      <c r="DR28" s="20"/>
      <c r="DS28" s="40"/>
      <c r="DT28" s="40"/>
      <c r="DU28" s="40"/>
      <c r="DV28" s="40"/>
      <c r="DW28" s="40"/>
      <c r="DX28" s="40"/>
      <c r="DY28" s="40"/>
    </row>
    <row r="29" spans="1:129" ht="15" customHeight="1" x14ac:dyDescent="0.2">
      <c r="A29" s="20"/>
      <c r="B29" s="154"/>
      <c r="C29" s="154"/>
      <c r="D29" s="154"/>
      <c r="E29" s="154"/>
      <c r="F29" s="154"/>
      <c r="G29" s="154"/>
      <c r="H29" s="154"/>
      <c r="I29" s="154"/>
      <c r="J29" s="154"/>
      <c r="K29" s="154"/>
      <c r="L29" s="154"/>
      <c r="M29" s="154"/>
      <c r="N29" s="154"/>
      <c r="O29" s="154"/>
      <c r="P29" s="154"/>
      <c r="Q29" s="154"/>
      <c r="R29" s="154"/>
      <c r="S29" s="154"/>
      <c r="T29" s="154"/>
      <c r="U29" s="154"/>
      <c r="V29" s="154"/>
      <c r="W29" s="154"/>
      <c r="X29" s="154"/>
      <c r="Y29" s="154"/>
      <c r="Z29" s="154"/>
      <c r="AA29" s="154"/>
      <c r="AB29" s="154"/>
      <c r="AC29" s="154"/>
      <c r="AD29" s="154"/>
      <c r="AE29" s="154"/>
      <c r="AF29" s="154"/>
      <c r="AG29" s="154"/>
      <c r="AH29" s="154"/>
      <c r="AI29" s="154"/>
      <c r="AJ29" s="154"/>
      <c r="AK29" s="154"/>
      <c r="AL29" s="154"/>
      <c r="AM29" s="154"/>
      <c r="AN29" s="154"/>
      <c r="AO29" s="154"/>
      <c r="AP29" s="154"/>
      <c r="AQ29" s="154"/>
      <c r="AR29" s="154"/>
      <c r="AS29" s="154"/>
      <c r="AT29" s="154"/>
      <c r="AU29" s="154"/>
      <c r="AV29" s="154"/>
      <c r="AW29" s="154"/>
      <c r="AX29" s="154"/>
      <c r="AY29" s="154"/>
      <c r="AZ29" s="154"/>
      <c r="BA29" s="154"/>
      <c r="BB29" s="154"/>
      <c r="BC29" s="154"/>
      <c r="BD29" s="154"/>
      <c r="BE29" s="154"/>
      <c r="BF29" s="154"/>
      <c r="BG29" s="154"/>
      <c r="BH29" s="154"/>
      <c r="BI29" s="154"/>
      <c r="BJ29" s="154"/>
      <c r="BK29" s="154"/>
      <c r="BL29" s="154"/>
      <c r="BM29" s="154"/>
      <c r="BN29" s="154"/>
      <c r="BO29" s="154"/>
      <c r="BP29" s="56"/>
      <c r="BQ29" s="5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56"/>
      <c r="CD29" s="56"/>
      <c r="CE29" s="56"/>
      <c r="CF29" s="56"/>
      <c r="CG29" s="56"/>
      <c r="CH29" s="37"/>
      <c r="CI29" s="37"/>
      <c r="CJ29" s="37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40"/>
      <c r="DT29" s="40"/>
      <c r="DU29" s="40"/>
      <c r="DV29" s="40"/>
      <c r="DW29" s="40"/>
      <c r="DX29" s="40"/>
      <c r="DY29" s="40"/>
    </row>
    <row r="30" spans="1:129" ht="18" customHeight="1" x14ac:dyDescent="0.2">
      <c r="A30" s="20"/>
      <c r="B30" s="154" t="s">
        <v>91</v>
      </c>
      <c r="C30" s="154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4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4"/>
      <c r="BM30" s="154"/>
      <c r="BN30" s="154"/>
      <c r="BO30" s="154"/>
      <c r="BP30" s="157" t="s">
        <v>92</v>
      </c>
      <c r="BQ30" s="157"/>
      <c r="BR30" s="157"/>
      <c r="BS30" s="157"/>
      <c r="BT30" s="157"/>
      <c r="BU30" s="157"/>
      <c r="BV30" s="157"/>
      <c r="BW30" s="157"/>
      <c r="BX30" s="56"/>
      <c r="BY30" s="56"/>
      <c r="BZ30" s="56"/>
      <c r="CA30" s="56"/>
      <c r="CB30" s="158" t="s">
        <v>55</v>
      </c>
      <c r="CC30" s="158"/>
      <c r="CD30" s="158"/>
      <c r="CE30" s="158" t="s">
        <v>55</v>
      </c>
      <c r="CF30" s="158"/>
      <c r="CG30" s="158"/>
      <c r="CH30" s="158" t="s">
        <v>153</v>
      </c>
      <c r="CI30" s="158"/>
      <c r="CJ30" s="158"/>
      <c r="CK30" s="86" t="s">
        <v>55</v>
      </c>
      <c r="CL30" s="86"/>
      <c r="CM30" s="86"/>
      <c r="CN30" s="86" t="s">
        <v>153</v>
      </c>
      <c r="CO30" s="86"/>
      <c r="CP30" s="86"/>
      <c r="CQ30" s="86" t="s">
        <v>164</v>
      </c>
      <c r="CR30" s="86"/>
      <c r="CS30" s="86"/>
      <c r="CT30" s="86" t="s">
        <v>53</v>
      </c>
      <c r="CU30" s="86"/>
      <c r="CV30" s="86"/>
      <c r="CW30" s="86" t="s">
        <v>169</v>
      </c>
      <c r="CX30" s="86"/>
      <c r="CY30" s="86"/>
      <c r="CZ30" s="86" t="s">
        <v>169</v>
      </c>
      <c r="DA30" s="86"/>
      <c r="DB30" s="86"/>
      <c r="DC30" s="86" t="s">
        <v>169</v>
      </c>
      <c r="DD30" s="86"/>
      <c r="DE30" s="86"/>
      <c r="DF30" s="86" t="s">
        <v>169</v>
      </c>
      <c r="DG30" s="86"/>
      <c r="DH30" s="86"/>
      <c r="DI30" s="86" t="s">
        <v>169</v>
      </c>
      <c r="DJ30" s="86"/>
      <c r="DK30" s="86"/>
      <c r="DL30" s="20"/>
      <c r="DM30" s="20"/>
      <c r="DN30" s="20"/>
      <c r="DO30" s="20"/>
      <c r="DP30" s="20"/>
      <c r="DQ30" s="20"/>
      <c r="DR30" s="20"/>
      <c r="DS30" s="40"/>
      <c r="DT30" s="40"/>
      <c r="DU30" s="40"/>
      <c r="DV30" s="40"/>
      <c r="DW30" s="40"/>
      <c r="DX30" s="40"/>
      <c r="DY30" s="40"/>
    </row>
    <row r="31" spans="1:129" ht="15" customHeight="1" x14ac:dyDescent="0.2">
      <c r="A31" s="20"/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4"/>
      <c r="X31" s="154"/>
      <c r="Y31" s="154"/>
      <c r="Z31" s="154"/>
      <c r="AA31" s="154"/>
      <c r="AB31" s="154"/>
      <c r="AC31" s="154"/>
      <c r="AD31" s="154"/>
      <c r="AE31" s="154"/>
      <c r="AF31" s="154"/>
      <c r="AG31" s="154"/>
      <c r="AH31" s="154"/>
      <c r="AI31" s="154"/>
      <c r="AJ31" s="154"/>
      <c r="AK31" s="154"/>
      <c r="AL31" s="154"/>
      <c r="AM31" s="154"/>
      <c r="AN31" s="154"/>
      <c r="AO31" s="154"/>
      <c r="AP31" s="154"/>
      <c r="AQ31" s="154"/>
      <c r="AR31" s="154"/>
      <c r="AS31" s="154"/>
      <c r="AT31" s="154"/>
      <c r="AU31" s="154"/>
      <c r="AV31" s="154"/>
      <c r="AW31" s="154"/>
      <c r="AX31" s="154"/>
      <c r="AY31" s="154"/>
      <c r="AZ31" s="154"/>
      <c r="BA31" s="154"/>
      <c r="BB31" s="154"/>
      <c r="BC31" s="154"/>
      <c r="BD31" s="154"/>
      <c r="BE31" s="154"/>
      <c r="BF31" s="154"/>
      <c r="BG31" s="154"/>
      <c r="BH31" s="154"/>
      <c r="BI31" s="154"/>
      <c r="BJ31" s="154"/>
      <c r="BK31" s="154"/>
      <c r="BL31" s="154"/>
      <c r="BM31" s="154"/>
      <c r="BN31" s="154"/>
      <c r="BO31" s="154"/>
      <c r="BP31" s="56"/>
      <c r="BQ31" s="56"/>
      <c r="BR31" s="56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  <c r="CE31" s="56"/>
      <c r="CF31" s="56"/>
      <c r="CG31" s="56"/>
      <c r="CH31" s="37"/>
      <c r="CI31" s="37"/>
      <c r="CJ31" s="37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40"/>
      <c r="DT31" s="40"/>
      <c r="DU31" s="40"/>
      <c r="DV31" s="40"/>
      <c r="DW31" s="40"/>
      <c r="DX31" s="40"/>
      <c r="DY31" s="40"/>
    </row>
    <row r="32" spans="1:129" ht="18" customHeight="1" x14ac:dyDescent="0.2">
      <c r="A32" s="20"/>
      <c r="B32" s="154" t="s">
        <v>93</v>
      </c>
      <c r="C32" s="154"/>
      <c r="D32" s="154"/>
      <c r="E32" s="154"/>
      <c r="F32" s="154"/>
      <c r="G32" s="154"/>
      <c r="H32" s="154"/>
      <c r="I32" s="154"/>
      <c r="J32" s="154"/>
      <c r="K32" s="154"/>
      <c r="L32" s="154"/>
      <c r="M32" s="154"/>
      <c r="N32" s="154"/>
      <c r="O32" s="154"/>
      <c r="P32" s="154"/>
      <c r="Q32" s="154"/>
      <c r="R32" s="154"/>
      <c r="S32" s="154"/>
      <c r="T32" s="154"/>
      <c r="U32" s="154"/>
      <c r="V32" s="154"/>
      <c r="W32" s="154"/>
      <c r="X32" s="154"/>
      <c r="Y32" s="154"/>
      <c r="Z32" s="154"/>
      <c r="AA32" s="154"/>
      <c r="AB32" s="154"/>
      <c r="AC32" s="154"/>
      <c r="AD32" s="154"/>
      <c r="AE32" s="154"/>
      <c r="AF32" s="154"/>
      <c r="AG32" s="154"/>
      <c r="AH32" s="154"/>
      <c r="AI32" s="154"/>
      <c r="AJ32" s="154"/>
      <c r="AK32" s="154"/>
      <c r="AL32" s="154"/>
      <c r="AM32" s="154"/>
      <c r="AN32" s="154"/>
      <c r="AO32" s="154"/>
      <c r="AP32" s="154"/>
      <c r="AQ32" s="154"/>
      <c r="AR32" s="154"/>
      <c r="AS32" s="154"/>
      <c r="AT32" s="154"/>
      <c r="AU32" s="154"/>
      <c r="AV32" s="154"/>
      <c r="AW32" s="154"/>
      <c r="AX32" s="154"/>
      <c r="AY32" s="154"/>
      <c r="AZ32" s="154"/>
      <c r="BA32" s="154"/>
      <c r="BB32" s="154"/>
      <c r="BC32" s="154"/>
      <c r="BD32" s="154"/>
      <c r="BE32" s="154"/>
      <c r="BF32" s="154"/>
      <c r="BG32" s="154"/>
      <c r="BH32" s="154"/>
      <c r="BI32" s="154"/>
      <c r="BJ32" s="154"/>
      <c r="BK32" s="154"/>
      <c r="BL32" s="154"/>
      <c r="BM32" s="154"/>
      <c r="BN32" s="154"/>
      <c r="BO32" s="154"/>
      <c r="BP32" s="157" t="s">
        <v>94</v>
      </c>
      <c r="BQ32" s="157"/>
      <c r="BR32" s="157"/>
      <c r="BS32" s="157"/>
      <c r="BT32" s="157"/>
      <c r="BU32" s="157"/>
      <c r="BV32" s="157"/>
      <c r="BW32" s="157"/>
      <c r="BX32" s="56"/>
      <c r="BY32" s="56"/>
      <c r="BZ32" s="56"/>
      <c r="CA32" s="56"/>
      <c r="CB32" s="193" t="s">
        <v>53</v>
      </c>
      <c r="CC32" s="193"/>
      <c r="CD32" s="193"/>
      <c r="CE32" s="193" t="s">
        <v>43</v>
      </c>
      <c r="CF32" s="193"/>
      <c r="CG32" s="193"/>
      <c r="CH32" s="193" t="s">
        <v>54</v>
      </c>
      <c r="CI32" s="193"/>
      <c r="CJ32" s="193"/>
      <c r="CK32" s="193" t="s">
        <v>153</v>
      </c>
      <c r="CL32" s="193"/>
      <c r="CM32" s="193"/>
      <c r="CN32" s="193" t="s">
        <v>153</v>
      </c>
      <c r="CO32" s="193"/>
      <c r="CP32" s="193"/>
      <c r="CQ32" s="193" t="s">
        <v>44</v>
      </c>
      <c r="CR32" s="193"/>
      <c r="CS32" s="193"/>
      <c r="CT32" s="193" t="s">
        <v>151</v>
      </c>
      <c r="CU32" s="193"/>
      <c r="CV32" s="193"/>
      <c r="CW32" s="193" t="s">
        <v>169</v>
      </c>
      <c r="CX32" s="193"/>
      <c r="CY32" s="193"/>
      <c r="CZ32" s="193" t="s">
        <v>169</v>
      </c>
      <c r="DA32" s="193"/>
      <c r="DB32" s="193"/>
      <c r="DC32" s="86" t="s">
        <v>169</v>
      </c>
      <c r="DD32" s="86"/>
      <c r="DE32" s="86"/>
      <c r="DF32" s="86" t="s">
        <v>169</v>
      </c>
      <c r="DG32" s="86"/>
      <c r="DH32" s="86"/>
      <c r="DI32" s="86" t="s">
        <v>169</v>
      </c>
      <c r="DJ32" s="86"/>
      <c r="DK32" s="86"/>
      <c r="DL32" s="20"/>
      <c r="DM32" s="20"/>
      <c r="DN32" s="20"/>
      <c r="DO32" s="20"/>
      <c r="DP32" s="20"/>
      <c r="DQ32" s="20"/>
      <c r="DR32" s="20"/>
      <c r="DS32" s="40"/>
      <c r="DT32" s="40"/>
      <c r="DU32" s="40"/>
      <c r="DV32" s="40"/>
      <c r="DW32" s="40"/>
      <c r="DX32" s="40"/>
      <c r="DY32" s="40"/>
    </row>
    <row r="33" spans="1:129" ht="21.75" customHeight="1" x14ac:dyDescent="0.2">
      <c r="A33" s="20"/>
      <c r="B33" s="154" t="s">
        <v>51</v>
      </c>
      <c r="C33" s="154"/>
      <c r="D33" s="154"/>
      <c r="E33" s="154"/>
      <c r="F33" s="154"/>
      <c r="G33" s="154"/>
      <c r="H33" s="154"/>
      <c r="I33" s="154"/>
      <c r="J33" s="154"/>
      <c r="K33" s="154"/>
      <c r="L33" s="154"/>
      <c r="M33" s="154"/>
      <c r="N33" s="154"/>
      <c r="O33" s="154"/>
      <c r="P33" s="154"/>
      <c r="Q33" s="154"/>
      <c r="R33" s="154"/>
      <c r="S33" s="154"/>
      <c r="T33" s="154"/>
      <c r="U33" s="154"/>
      <c r="V33" s="154"/>
      <c r="W33" s="154"/>
      <c r="X33" s="154"/>
      <c r="Y33" s="154"/>
      <c r="Z33" s="154"/>
      <c r="AA33" s="154"/>
      <c r="AB33" s="154"/>
      <c r="AC33" s="154"/>
      <c r="AD33" s="154"/>
      <c r="AE33" s="154"/>
      <c r="AF33" s="154"/>
      <c r="AG33" s="154"/>
      <c r="AH33" s="154"/>
      <c r="AI33" s="154"/>
      <c r="AJ33" s="154"/>
      <c r="AK33" s="154"/>
      <c r="AL33" s="154"/>
      <c r="AM33" s="154"/>
      <c r="AN33" s="154"/>
      <c r="AO33" s="154"/>
      <c r="AP33" s="154"/>
      <c r="AQ33" s="154"/>
      <c r="AR33" s="154"/>
      <c r="AS33" s="154"/>
      <c r="AT33" s="154"/>
      <c r="AU33" s="154"/>
      <c r="AV33" s="154"/>
      <c r="AW33" s="154"/>
      <c r="AX33" s="154"/>
      <c r="AY33" s="154"/>
      <c r="AZ33" s="154"/>
      <c r="BA33" s="154"/>
      <c r="BB33" s="154"/>
      <c r="BC33" s="154"/>
      <c r="BD33" s="154"/>
      <c r="BE33" s="154"/>
      <c r="BF33" s="154"/>
      <c r="BG33" s="154"/>
      <c r="BH33" s="154"/>
      <c r="BI33" s="154"/>
      <c r="BJ33" s="154"/>
      <c r="BK33" s="154"/>
      <c r="BL33" s="154"/>
      <c r="BM33" s="154"/>
      <c r="BN33" s="154"/>
      <c r="BO33" s="154"/>
      <c r="BP33" s="55"/>
      <c r="BQ33" s="55"/>
      <c r="BR33" s="55"/>
      <c r="BS33" s="55"/>
      <c r="BT33" s="55"/>
      <c r="BU33" s="55"/>
      <c r="BV33" s="55"/>
      <c r="BW33" s="55"/>
      <c r="BX33" s="56"/>
      <c r="BY33" s="56"/>
      <c r="BZ33" s="56"/>
      <c r="CA33" s="56"/>
      <c r="CB33" s="56"/>
      <c r="CC33" s="56"/>
      <c r="CD33" s="56"/>
      <c r="CE33" s="56"/>
      <c r="CF33" s="56"/>
      <c r="CG33" s="56"/>
      <c r="CH33" s="56"/>
      <c r="CI33" s="56"/>
      <c r="CJ33" s="56"/>
      <c r="CK33" s="56"/>
      <c r="CL33" s="56"/>
      <c r="CM33" s="56"/>
      <c r="CN33" s="56"/>
      <c r="CO33" s="56"/>
      <c r="CP33" s="56"/>
      <c r="CQ33" s="56"/>
      <c r="CR33" s="56"/>
      <c r="CS33" s="56"/>
      <c r="CT33" s="56"/>
      <c r="CU33" s="56"/>
      <c r="CV33" s="56"/>
      <c r="CW33" s="56"/>
      <c r="CX33" s="56"/>
      <c r="CY33" s="56"/>
      <c r="CZ33" s="56"/>
      <c r="DA33" s="56"/>
      <c r="DB33" s="56"/>
      <c r="DC33" s="56"/>
      <c r="DD33" s="56"/>
      <c r="DE33" s="56"/>
      <c r="DF33" s="56"/>
      <c r="DG33" s="56"/>
      <c r="DH33" s="56"/>
      <c r="DI33" s="56"/>
      <c r="DJ33" s="56"/>
      <c r="DK33" s="56"/>
      <c r="DL33" s="20"/>
      <c r="DM33" s="20"/>
      <c r="DN33" s="20"/>
      <c r="DO33" s="20"/>
      <c r="DP33" s="20"/>
      <c r="DQ33" s="20"/>
      <c r="DR33" s="20"/>
      <c r="DS33" s="40"/>
      <c r="DT33" s="40"/>
      <c r="DU33" s="40"/>
      <c r="DV33" s="40"/>
      <c r="DW33" s="40"/>
      <c r="DX33" s="40"/>
      <c r="DY33" s="40"/>
    </row>
    <row r="34" spans="1:129" ht="18" customHeight="1" x14ac:dyDescent="0.2">
      <c r="A34" s="20"/>
      <c r="B34" s="188" t="s">
        <v>88</v>
      </c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188"/>
      <c r="U34" s="188"/>
      <c r="V34" s="188"/>
      <c r="W34" s="188"/>
      <c r="X34" s="188"/>
      <c r="Y34" s="188"/>
      <c r="Z34" s="188"/>
      <c r="AA34" s="188"/>
      <c r="AB34" s="188"/>
      <c r="AC34" s="188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88"/>
      <c r="AR34" s="188"/>
      <c r="AS34" s="188"/>
      <c r="AT34" s="188"/>
      <c r="AU34" s="188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  <c r="BK34" s="188"/>
      <c r="BL34" s="188"/>
      <c r="BM34" s="188"/>
      <c r="BN34" s="188"/>
      <c r="BO34" s="188"/>
      <c r="BP34" s="184" t="s">
        <v>78</v>
      </c>
      <c r="BQ34" s="184"/>
      <c r="BR34" s="184"/>
      <c r="BS34" s="184"/>
      <c r="BT34" s="184"/>
      <c r="BU34" s="184"/>
      <c r="BV34" s="184"/>
      <c r="BW34" s="184"/>
      <c r="BX34" s="68"/>
      <c r="BY34" s="68"/>
      <c r="BZ34" s="68"/>
      <c r="CA34" s="68"/>
      <c r="CB34" s="185" t="s">
        <v>151</v>
      </c>
      <c r="CC34" s="185"/>
      <c r="CD34" s="185"/>
      <c r="CE34" s="123" t="s">
        <v>6</v>
      </c>
      <c r="CF34" s="123"/>
      <c r="CG34" s="123"/>
      <c r="CH34" s="185" t="s">
        <v>43</v>
      </c>
      <c r="CI34" s="185"/>
      <c r="CJ34" s="185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40"/>
      <c r="DT34" s="40"/>
      <c r="DU34" s="40"/>
      <c r="DV34" s="40"/>
      <c r="DW34" s="40"/>
      <c r="DX34" s="40"/>
      <c r="DY34" s="40"/>
    </row>
    <row r="35" spans="1:129" ht="18" customHeight="1" x14ac:dyDescent="0.2">
      <c r="A35" s="20"/>
      <c r="B35" s="154"/>
      <c r="C35" s="154"/>
      <c r="D35" s="154"/>
      <c r="E35" s="154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  <c r="AH35" s="154"/>
      <c r="AI35" s="154"/>
      <c r="AJ35" s="154"/>
      <c r="AK35" s="154"/>
      <c r="AL35" s="154"/>
      <c r="AM35" s="154"/>
      <c r="AN35" s="154"/>
      <c r="AO35" s="154"/>
      <c r="AP35" s="154"/>
      <c r="AQ35" s="154"/>
      <c r="AR35" s="154"/>
      <c r="AS35" s="154"/>
      <c r="AT35" s="154"/>
      <c r="AU35" s="154"/>
      <c r="AV35" s="154"/>
      <c r="AW35" s="154"/>
      <c r="AX35" s="154"/>
      <c r="AY35" s="154"/>
      <c r="AZ35" s="154"/>
      <c r="BA35" s="154"/>
      <c r="BB35" s="154"/>
      <c r="BC35" s="154"/>
      <c r="BD35" s="154"/>
      <c r="BE35" s="154"/>
      <c r="BF35" s="154"/>
      <c r="BG35" s="154"/>
      <c r="BH35" s="154"/>
      <c r="BI35" s="154"/>
      <c r="BJ35" s="154"/>
      <c r="BK35" s="154"/>
      <c r="BL35" s="154"/>
      <c r="BM35" s="154"/>
      <c r="BN35" s="154"/>
      <c r="BO35" s="154"/>
      <c r="BP35" s="16"/>
      <c r="BQ35" s="16"/>
      <c r="BR35" s="16"/>
      <c r="BS35" s="16"/>
      <c r="BT35" s="16"/>
      <c r="BU35" s="16"/>
      <c r="BV35" s="16"/>
      <c r="BW35" s="16"/>
      <c r="BX35" s="56"/>
      <c r="BY35" s="56"/>
      <c r="BZ35" s="56"/>
      <c r="CA35" s="56"/>
      <c r="CB35" s="54"/>
      <c r="CC35" s="54"/>
      <c r="CD35" s="54"/>
      <c r="CE35" s="37"/>
      <c r="CF35" s="37"/>
      <c r="CG35" s="37"/>
      <c r="CH35" s="37"/>
      <c r="CI35" s="37"/>
      <c r="CJ35" s="37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20"/>
      <c r="DJ35" s="20"/>
      <c r="DK35" s="20"/>
      <c r="DL35" s="20"/>
      <c r="DM35" s="20"/>
      <c r="DN35" s="20"/>
      <c r="DO35" s="20"/>
      <c r="DP35" s="20"/>
      <c r="DQ35" s="20"/>
      <c r="DR35" s="20"/>
      <c r="DS35" s="40"/>
      <c r="DT35" s="40"/>
      <c r="DU35" s="40"/>
      <c r="DV35" s="40"/>
      <c r="DW35" s="40"/>
      <c r="DX35" s="40"/>
      <c r="DY35" s="40"/>
    </row>
    <row r="36" spans="1:129" ht="18" customHeight="1" x14ac:dyDescent="0.2">
      <c r="A36" s="20"/>
      <c r="B36" s="188" t="s">
        <v>89</v>
      </c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  <c r="N36" s="188"/>
      <c r="O36" s="188"/>
      <c r="P36" s="188"/>
      <c r="Q36" s="188"/>
      <c r="R36" s="188"/>
      <c r="S36" s="188"/>
      <c r="T36" s="188"/>
      <c r="U36" s="188"/>
      <c r="V36" s="188"/>
      <c r="W36" s="188"/>
      <c r="X36" s="188"/>
      <c r="Y36" s="188"/>
      <c r="Z36" s="188"/>
      <c r="AA36" s="188"/>
      <c r="AB36" s="188"/>
      <c r="AC36" s="188"/>
      <c r="AD36" s="188"/>
      <c r="AE36" s="188"/>
      <c r="AF36" s="188"/>
      <c r="AG36" s="188"/>
      <c r="AH36" s="188"/>
      <c r="AI36" s="188"/>
      <c r="AJ36" s="188"/>
      <c r="AK36" s="188"/>
      <c r="AL36" s="188"/>
      <c r="AM36" s="188"/>
      <c r="AN36" s="188"/>
      <c r="AO36" s="188"/>
      <c r="AP36" s="188"/>
      <c r="AQ36" s="188"/>
      <c r="AR36" s="188"/>
      <c r="AS36" s="188"/>
      <c r="AT36" s="188"/>
      <c r="AU36" s="188"/>
      <c r="AV36" s="188"/>
      <c r="AW36" s="188"/>
      <c r="AX36" s="188"/>
      <c r="AY36" s="188"/>
      <c r="AZ36" s="188"/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  <c r="BK36" s="188"/>
      <c r="BL36" s="188"/>
      <c r="BM36" s="188"/>
      <c r="BN36" s="188"/>
      <c r="BO36" s="188"/>
      <c r="BP36" s="184" t="s">
        <v>148</v>
      </c>
      <c r="BQ36" s="184"/>
      <c r="BR36" s="184"/>
      <c r="BS36" s="184"/>
      <c r="BT36" s="184"/>
      <c r="BU36" s="184"/>
      <c r="BV36" s="184"/>
      <c r="BW36" s="184"/>
      <c r="BX36" s="68"/>
      <c r="BY36" s="68"/>
      <c r="BZ36" s="68"/>
      <c r="CA36" s="68"/>
      <c r="CB36" s="185" t="s">
        <v>151</v>
      </c>
      <c r="CC36" s="185"/>
      <c r="CD36" s="185"/>
      <c r="CE36" s="123" t="s">
        <v>6</v>
      </c>
      <c r="CF36" s="123"/>
      <c r="CG36" s="123"/>
      <c r="CH36" s="185" t="s">
        <v>43</v>
      </c>
      <c r="CI36" s="185"/>
      <c r="CJ36" s="185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20"/>
      <c r="DI36" s="20"/>
      <c r="DJ36" s="20"/>
      <c r="DK36" s="20"/>
      <c r="DL36" s="20"/>
      <c r="DM36" s="20"/>
      <c r="DN36" s="20"/>
      <c r="DO36" s="20"/>
      <c r="DP36" s="20"/>
      <c r="DQ36" s="20"/>
      <c r="DR36" s="20"/>
      <c r="DS36" s="40"/>
      <c r="DT36" s="40"/>
      <c r="DU36" s="40"/>
      <c r="DV36" s="40"/>
      <c r="DW36" s="40"/>
      <c r="DX36" s="40"/>
      <c r="DY36" s="40"/>
    </row>
    <row r="37" spans="1:129" ht="18" customHeight="1" x14ac:dyDescent="0.2">
      <c r="A37" s="20"/>
      <c r="B37" s="154"/>
      <c r="C37" s="154"/>
      <c r="D37" s="154"/>
      <c r="E37" s="154"/>
      <c r="F37" s="154"/>
      <c r="G37" s="154"/>
      <c r="H37" s="154"/>
      <c r="I37" s="154"/>
      <c r="J37" s="154"/>
      <c r="K37" s="154"/>
      <c r="L37" s="154"/>
      <c r="M37" s="154"/>
      <c r="N37" s="154"/>
      <c r="O37" s="154"/>
      <c r="P37" s="154"/>
      <c r="Q37" s="154"/>
      <c r="R37" s="154"/>
      <c r="S37" s="154"/>
      <c r="T37" s="154"/>
      <c r="U37" s="154"/>
      <c r="V37" s="154"/>
      <c r="W37" s="154"/>
      <c r="X37" s="154"/>
      <c r="Y37" s="154"/>
      <c r="Z37" s="154"/>
      <c r="AA37" s="154"/>
      <c r="AB37" s="154"/>
      <c r="AC37" s="154"/>
      <c r="AD37" s="154"/>
      <c r="AE37" s="154"/>
      <c r="AF37" s="154"/>
      <c r="AG37" s="154"/>
      <c r="AH37" s="154"/>
      <c r="AI37" s="154"/>
      <c r="AJ37" s="154"/>
      <c r="AK37" s="154"/>
      <c r="AL37" s="154"/>
      <c r="AM37" s="154"/>
      <c r="AN37" s="154"/>
      <c r="AO37" s="154"/>
      <c r="AP37" s="154"/>
      <c r="AQ37" s="154"/>
      <c r="AR37" s="154"/>
      <c r="AS37" s="154"/>
      <c r="AT37" s="154"/>
      <c r="AU37" s="154"/>
      <c r="AV37" s="154"/>
      <c r="AW37" s="154"/>
      <c r="AX37" s="154"/>
      <c r="AY37" s="154"/>
      <c r="AZ37" s="154"/>
      <c r="BA37" s="154"/>
      <c r="BB37" s="154"/>
      <c r="BC37" s="154"/>
      <c r="BD37" s="154"/>
      <c r="BE37" s="154"/>
      <c r="BF37" s="154"/>
      <c r="BG37" s="154"/>
      <c r="BH37" s="154"/>
      <c r="BI37" s="154"/>
      <c r="BJ37" s="154"/>
      <c r="BK37" s="154"/>
      <c r="BL37" s="154"/>
      <c r="BM37" s="154"/>
      <c r="BN37" s="154"/>
      <c r="BO37" s="154"/>
      <c r="BP37" s="20"/>
      <c r="BQ37" s="16"/>
      <c r="BR37" s="16"/>
      <c r="BS37" s="16"/>
      <c r="BT37" s="16"/>
      <c r="BU37" s="16"/>
      <c r="BV37" s="16"/>
      <c r="BW37" s="16"/>
      <c r="BX37" s="56"/>
      <c r="BY37" s="56"/>
      <c r="BZ37" s="56"/>
      <c r="CA37" s="56"/>
      <c r="CB37" s="54"/>
      <c r="CC37" s="54"/>
      <c r="CD37" s="54"/>
      <c r="CE37" s="37"/>
      <c r="CF37" s="37"/>
      <c r="CG37" s="37"/>
      <c r="CH37" s="37"/>
      <c r="CI37" s="37"/>
      <c r="CJ37" s="37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20"/>
      <c r="DH37" s="20"/>
      <c r="DI37" s="20"/>
      <c r="DJ37" s="20"/>
      <c r="DK37" s="20"/>
      <c r="DL37" s="20"/>
      <c r="DM37" s="20"/>
      <c r="DN37" s="20"/>
      <c r="DO37" s="20"/>
      <c r="DP37" s="20"/>
      <c r="DQ37" s="20"/>
      <c r="DR37" s="20"/>
      <c r="DS37" s="40"/>
      <c r="DT37" s="40"/>
      <c r="DU37" s="40"/>
      <c r="DV37" s="40"/>
      <c r="DW37" s="40"/>
      <c r="DX37" s="40"/>
      <c r="DY37" s="40"/>
    </row>
    <row r="38" spans="1:129" ht="18" customHeight="1" x14ac:dyDescent="0.2">
      <c r="A38" s="20"/>
      <c r="B38" s="154" t="s">
        <v>91</v>
      </c>
      <c r="C38" s="154"/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/>
      <c r="Z38" s="154"/>
      <c r="AA38" s="154"/>
      <c r="AB38" s="154"/>
      <c r="AC38" s="154"/>
      <c r="AD38" s="154"/>
      <c r="AE38" s="154"/>
      <c r="AF38" s="154"/>
      <c r="AG38" s="154"/>
      <c r="AH38" s="154"/>
      <c r="AI38" s="154"/>
      <c r="AJ38" s="154"/>
      <c r="AK38" s="154"/>
      <c r="AL38" s="154"/>
      <c r="AM38" s="154"/>
      <c r="AN38" s="154"/>
      <c r="AO38" s="154"/>
      <c r="AP38" s="154"/>
      <c r="AQ38" s="154"/>
      <c r="AR38" s="154"/>
      <c r="AS38" s="154"/>
      <c r="AT38" s="154"/>
      <c r="AU38" s="154"/>
      <c r="AV38" s="154"/>
      <c r="AW38" s="154"/>
      <c r="AX38" s="154"/>
      <c r="AY38" s="154"/>
      <c r="AZ38" s="154"/>
      <c r="BA38" s="154"/>
      <c r="BB38" s="154"/>
      <c r="BC38" s="154"/>
      <c r="BD38" s="154"/>
      <c r="BE38" s="154"/>
      <c r="BF38" s="154"/>
      <c r="BG38" s="154"/>
      <c r="BH38" s="154"/>
      <c r="BI38" s="154"/>
      <c r="BJ38" s="154"/>
      <c r="BK38" s="154"/>
      <c r="BL38" s="154"/>
      <c r="BM38" s="154"/>
      <c r="BN38" s="154"/>
      <c r="BO38" s="154"/>
      <c r="BP38" s="184" t="s">
        <v>149</v>
      </c>
      <c r="BQ38" s="184"/>
      <c r="BR38" s="184"/>
      <c r="BS38" s="184"/>
      <c r="BT38" s="184"/>
      <c r="BU38" s="184"/>
      <c r="BV38" s="184"/>
      <c r="BW38" s="184"/>
      <c r="BX38" s="68"/>
      <c r="BY38" s="68"/>
      <c r="BZ38" s="68"/>
      <c r="CA38" s="68"/>
      <c r="CB38" s="185" t="s">
        <v>151</v>
      </c>
      <c r="CC38" s="185"/>
      <c r="CD38" s="185"/>
      <c r="CE38" s="123" t="s">
        <v>6</v>
      </c>
      <c r="CF38" s="123"/>
      <c r="CG38" s="123"/>
      <c r="CH38" s="185" t="s">
        <v>43</v>
      </c>
      <c r="CI38" s="185"/>
      <c r="CJ38" s="185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20"/>
      <c r="DG38" s="20"/>
      <c r="DH38" s="20"/>
      <c r="DI38" s="20"/>
      <c r="DJ38" s="20"/>
      <c r="DK38" s="20"/>
      <c r="DL38" s="20"/>
      <c r="DM38" s="20"/>
      <c r="DN38" s="20"/>
      <c r="DO38" s="20"/>
      <c r="DP38" s="20"/>
      <c r="DQ38" s="20"/>
      <c r="DR38" s="20"/>
      <c r="DS38" s="40"/>
      <c r="DT38" s="40"/>
      <c r="DU38" s="40"/>
      <c r="DV38" s="40"/>
      <c r="DW38" s="40"/>
      <c r="DX38" s="40"/>
      <c r="DY38" s="40"/>
    </row>
    <row r="39" spans="1:129" ht="18" customHeight="1" x14ac:dyDescent="0.2">
      <c r="A39" s="20"/>
      <c r="B39" s="154"/>
      <c r="C39" s="154"/>
      <c r="D39" s="154"/>
      <c r="E39" s="154"/>
      <c r="F39" s="154"/>
      <c r="G39" s="154"/>
      <c r="H39" s="154"/>
      <c r="I39" s="154"/>
      <c r="J39" s="154"/>
      <c r="K39" s="154"/>
      <c r="L39" s="154"/>
      <c r="M39" s="154"/>
      <c r="N39" s="154"/>
      <c r="O39" s="154"/>
      <c r="P39" s="154"/>
      <c r="Q39" s="154"/>
      <c r="R39" s="154"/>
      <c r="S39" s="154"/>
      <c r="T39" s="154"/>
      <c r="U39" s="154"/>
      <c r="V39" s="154"/>
      <c r="W39" s="154"/>
      <c r="X39" s="154"/>
      <c r="Y39" s="154"/>
      <c r="Z39" s="154"/>
      <c r="AA39" s="154"/>
      <c r="AB39" s="154"/>
      <c r="AC39" s="154"/>
      <c r="AD39" s="154"/>
      <c r="AE39" s="154"/>
      <c r="AF39" s="154"/>
      <c r="AG39" s="154"/>
      <c r="AH39" s="154"/>
      <c r="AI39" s="154"/>
      <c r="AJ39" s="154"/>
      <c r="AK39" s="154"/>
      <c r="AL39" s="154"/>
      <c r="AM39" s="154"/>
      <c r="AN39" s="154"/>
      <c r="AO39" s="154"/>
      <c r="AP39" s="154"/>
      <c r="AQ39" s="154"/>
      <c r="AR39" s="154"/>
      <c r="AS39" s="154"/>
      <c r="AT39" s="154"/>
      <c r="AU39" s="154"/>
      <c r="AV39" s="154"/>
      <c r="AW39" s="154"/>
      <c r="AX39" s="154"/>
      <c r="AY39" s="154"/>
      <c r="AZ39" s="154"/>
      <c r="BA39" s="154"/>
      <c r="BB39" s="154"/>
      <c r="BC39" s="154"/>
      <c r="BD39" s="154"/>
      <c r="BE39" s="154"/>
      <c r="BF39" s="154"/>
      <c r="BG39" s="154"/>
      <c r="BH39" s="154"/>
      <c r="BI39" s="154"/>
      <c r="BJ39" s="154"/>
      <c r="BK39" s="154"/>
      <c r="BL39" s="154"/>
      <c r="BM39" s="154"/>
      <c r="BN39" s="154"/>
      <c r="BO39" s="154"/>
      <c r="BP39" s="20"/>
      <c r="BQ39" s="16"/>
      <c r="BR39" s="16"/>
      <c r="BS39" s="16"/>
      <c r="BT39" s="16"/>
      <c r="BU39" s="16"/>
      <c r="BV39" s="16"/>
      <c r="BW39" s="16"/>
      <c r="BX39" s="56"/>
      <c r="BY39" s="56"/>
      <c r="BZ39" s="56"/>
      <c r="CA39" s="56"/>
      <c r="CB39" s="54"/>
      <c r="CC39" s="54"/>
      <c r="CD39" s="54"/>
      <c r="CE39" s="37"/>
      <c r="CF39" s="37"/>
      <c r="CG39" s="37"/>
      <c r="CH39" s="37"/>
      <c r="CI39" s="37"/>
      <c r="CJ39" s="37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40"/>
      <c r="DT39" s="40"/>
      <c r="DU39" s="40"/>
      <c r="DV39" s="40"/>
      <c r="DW39" s="40"/>
      <c r="DX39" s="40"/>
      <c r="DY39" s="40"/>
    </row>
    <row r="40" spans="1:129" ht="18" customHeight="1" x14ac:dyDescent="0.2">
      <c r="A40" s="20"/>
      <c r="B40" s="154" t="s">
        <v>93</v>
      </c>
      <c r="C40" s="154"/>
      <c r="D40" s="154"/>
      <c r="E40" s="154"/>
      <c r="F40" s="154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  <c r="Z40" s="154"/>
      <c r="AA40" s="154"/>
      <c r="AB40" s="154"/>
      <c r="AC40" s="154"/>
      <c r="AD40" s="154"/>
      <c r="AE40" s="154"/>
      <c r="AF40" s="154"/>
      <c r="AG40" s="154"/>
      <c r="AH40" s="154"/>
      <c r="AI40" s="154"/>
      <c r="AJ40" s="154"/>
      <c r="AK40" s="154"/>
      <c r="AL40" s="154"/>
      <c r="AM40" s="154"/>
      <c r="AN40" s="154"/>
      <c r="AO40" s="154"/>
      <c r="AP40" s="154"/>
      <c r="AQ40" s="154"/>
      <c r="AR40" s="154"/>
      <c r="AS40" s="154"/>
      <c r="AT40" s="154"/>
      <c r="AU40" s="154"/>
      <c r="AV40" s="154"/>
      <c r="AW40" s="154"/>
      <c r="AX40" s="154"/>
      <c r="AY40" s="154"/>
      <c r="AZ40" s="154"/>
      <c r="BA40" s="154"/>
      <c r="BB40" s="154"/>
      <c r="BC40" s="154"/>
      <c r="BD40" s="154"/>
      <c r="BE40" s="154"/>
      <c r="BF40" s="154"/>
      <c r="BG40" s="154"/>
      <c r="BH40" s="154"/>
      <c r="BI40" s="154"/>
      <c r="BJ40" s="154"/>
      <c r="BK40" s="154"/>
      <c r="BL40" s="154"/>
      <c r="BM40" s="154"/>
      <c r="BN40" s="154"/>
      <c r="BO40" s="154"/>
      <c r="BP40" s="184" t="s">
        <v>150</v>
      </c>
      <c r="BQ40" s="184"/>
      <c r="BR40" s="184"/>
      <c r="BS40" s="184"/>
      <c r="BT40" s="184"/>
      <c r="BU40" s="184"/>
      <c r="BV40" s="184"/>
      <c r="BW40" s="184"/>
      <c r="BX40" s="68"/>
      <c r="BY40" s="68"/>
      <c r="BZ40" s="68"/>
      <c r="CA40" s="68"/>
      <c r="CB40" s="185" t="s">
        <v>151</v>
      </c>
      <c r="CC40" s="185"/>
      <c r="CD40" s="185"/>
      <c r="CE40" s="123" t="s">
        <v>6</v>
      </c>
      <c r="CF40" s="123"/>
      <c r="CG40" s="123"/>
      <c r="CH40" s="185" t="s">
        <v>43</v>
      </c>
      <c r="CI40" s="185"/>
      <c r="CJ40" s="185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40"/>
      <c r="DT40" s="40"/>
      <c r="DU40" s="40"/>
      <c r="DV40" s="40"/>
      <c r="DW40" s="40"/>
      <c r="DX40" s="40"/>
      <c r="DY40" s="40"/>
    </row>
    <row r="41" spans="1:129" ht="15" customHeight="1" x14ac:dyDescent="0.2">
      <c r="A41" s="20"/>
      <c r="B41" s="134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4"/>
      <c r="BG41" s="134"/>
      <c r="BH41" s="134"/>
      <c r="BI41" s="134"/>
      <c r="BJ41" s="134"/>
      <c r="BK41" s="134"/>
      <c r="BL41" s="134"/>
      <c r="BM41" s="134"/>
      <c r="BN41" s="134"/>
      <c r="BO41" s="134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  <c r="DG41" s="32"/>
      <c r="DH41" s="32"/>
      <c r="DI41" s="32"/>
      <c r="DJ41" s="32"/>
      <c r="DK41" s="32"/>
      <c r="DL41" s="32"/>
      <c r="DM41" s="32"/>
      <c r="DN41" s="32"/>
      <c r="DO41" s="32"/>
      <c r="DP41" s="32"/>
      <c r="DQ41" s="32"/>
      <c r="DR41" s="20"/>
      <c r="DS41" s="40"/>
      <c r="DT41" s="40"/>
      <c r="DU41" s="40"/>
      <c r="DV41" s="40"/>
      <c r="DW41" s="40"/>
      <c r="DX41" s="40"/>
      <c r="DY41" s="40"/>
    </row>
    <row r="42" spans="1:129" ht="12" customHeight="1" x14ac:dyDescent="0.2">
      <c r="A42" s="5"/>
      <c r="B42" s="134" t="s">
        <v>95</v>
      </c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4"/>
      <c r="BA42" s="134"/>
      <c r="BB42" s="134"/>
      <c r="BC42" s="134"/>
      <c r="BD42" s="134"/>
      <c r="BE42" s="134"/>
      <c r="BF42" s="134"/>
      <c r="BG42" s="134"/>
      <c r="BH42" s="134"/>
      <c r="BI42" s="134"/>
      <c r="BJ42" s="134"/>
      <c r="BK42" s="134"/>
      <c r="BL42" s="134"/>
      <c r="BM42" s="134"/>
      <c r="BN42" s="134"/>
      <c r="BO42" s="134"/>
      <c r="BP42" s="55"/>
      <c r="BQ42" s="55"/>
      <c r="BR42" s="55"/>
      <c r="BS42" s="55"/>
      <c r="BT42" s="55"/>
      <c r="BU42" s="55"/>
      <c r="BV42" s="55"/>
      <c r="BW42" s="55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20"/>
      <c r="DM42" s="20"/>
      <c r="DN42" s="20"/>
      <c r="DO42" s="20"/>
      <c r="DP42" s="20"/>
      <c r="DQ42" s="20"/>
      <c r="DR42" s="20"/>
      <c r="DS42" s="40"/>
      <c r="DT42" s="40"/>
      <c r="DU42" s="40"/>
      <c r="DV42" s="40"/>
      <c r="DW42" s="40"/>
      <c r="DX42" s="40"/>
      <c r="DY42" s="40"/>
    </row>
    <row r="43" spans="1:129" ht="15" customHeight="1" x14ac:dyDescent="0.2">
      <c r="A43" s="25"/>
      <c r="B43" s="192"/>
      <c r="C43" s="192"/>
      <c r="D43" s="192"/>
      <c r="E43" s="192"/>
      <c r="F43" s="192"/>
      <c r="G43" s="192"/>
      <c r="H43" s="192"/>
      <c r="I43" s="192"/>
      <c r="J43" s="192"/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55"/>
      <c r="BQ43" s="55"/>
      <c r="BR43" s="55"/>
      <c r="BS43" s="55"/>
      <c r="BT43" s="55"/>
      <c r="BU43" s="55"/>
      <c r="BV43" s="55"/>
      <c r="BW43" s="55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20"/>
      <c r="DM43" s="20"/>
      <c r="DN43" s="20"/>
      <c r="DO43" s="20"/>
      <c r="DP43" s="20"/>
      <c r="DQ43" s="20"/>
      <c r="DR43" s="20"/>
      <c r="DS43" s="40"/>
      <c r="DT43" s="40"/>
      <c r="DU43" s="40"/>
      <c r="DV43" s="40"/>
      <c r="DW43" s="40"/>
      <c r="DX43" s="40"/>
      <c r="DY43" s="40"/>
    </row>
    <row r="44" spans="1:129" ht="9" customHeight="1" x14ac:dyDescent="0.2">
      <c r="A44" s="25"/>
      <c r="B44" s="112" t="s">
        <v>88</v>
      </c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K44" s="112"/>
      <c r="AL44" s="112"/>
      <c r="AM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X44" s="112"/>
      <c r="AY44" s="112"/>
      <c r="AZ44" s="112"/>
      <c r="BA44" s="112"/>
      <c r="BB44" s="112"/>
      <c r="BC44" s="112"/>
      <c r="BD44" s="112"/>
      <c r="BE44" s="112"/>
      <c r="BF44" s="112"/>
      <c r="BG44" s="112"/>
      <c r="BH44" s="112"/>
      <c r="BI44" s="112"/>
      <c r="BJ44" s="112"/>
      <c r="BK44" s="112"/>
      <c r="BL44" s="112"/>
      <c r="BM44" s="112"/>
      <c r="BN44" s="112"/>
      <c r="BO44" s="112"/>
      <c r="BP44" s="157" t="s">
        <v>97</v>
      </c>
      <c r="BQ44" s="157"/>
      <c r="BR44" s="157"/>
      <c r="BS44" s="157"/>
      <c r="BT44" s="157"/>
      <c r="BU44" s="157"/>
      <c r="BV44" s="157"/>
      <c r="BW44" s="157"/>
      <c r="BX44" s="56"/>
      <c r="BY44" s="56"/>
      <c r="BZ44" s="56"/>
      <c r="CA44" s="56"/>
      <c r="CB44" s="147" t="s">
        <v>53</v>
      </c>
      <c r="CC44" s="148"/>
      <c r="CD44" s="149"/>
      <c r="CE44" s="147" t="s">
        <v>151</v>
      </c>
      <c r="CF44" s="148"/>
      <c r="CG44" s="149"/>
      <c r="CH44" s="147" t="s">
        <v>44</v>
      </c>
      <c r="CI44" s="148"/>
      <c r="CJ44" s="149"/>
      <c r="CK44" s="147" t="s">
        <v>151</v>
      </c>
      <c r="CL44" s="148"/>
      <c r="CM44" s="149"/>
      <c r="CN44" s="147" t="s">
        <v>53</v>
      </c>
      <c r="CO44" s="148"/>
      <c r="CP44" s="149"/>
      <c r="CQ44" s="147" t="s">
        <v>169</v>
      </c>
      <c r="CR44" s="148"/>
      <c r="CS44" s="149"/>
      <c r="CT44" s="147" t="s">
        <v>169</v>
      </c>
      <c r="CU44" s="148"/>
      <c r="CV44" s="149"/>
      <c r="CW44" s="147" t="s">
        <v>169</v>
      </c>
      <c r="CX44" s="148"/>
      <c r="CY44" s="149"/>
      <c r="CZ44" s="147" t="s">
        <v>169</v>
      </c>
      <c r="DA44" s="148"/>
      <c r="DB44" s="149"/>
      <c r="DC44" s="147" t="s">
        <v>169</v>
      </c>
      <c r="DD44" s="148"/>
      <c r="DE44" s="149"/>
      <c r="DF44" s="147" t="s">
        <v>169</v>
      </c>
      <c r="DG44" s="148"/>
      <c r="DH44" s="149"/>
      <c r="DI44" s="147" t="s">
        <v>169</v>
      </c>
      <c r="DJ44" s="148"/>
      <c r="DK44" s="149"/>
      <c r="DL44" s="32"/>
      <c r="DM44" s="32"/>
      <c r="DN44" s="32"/>
      <c r="DO44" s="32"/>
      <c r="DP44" s="32"/>
      <c r="DQ44" s="32"/>
      <c r="DR44" s="20"/>
      <c r="DS44" s="40"/>
      <c r="DT44" s="40"/>
      <c r="DU44" s="40"/>
      <c r="DV44" s="40"/>
      <c r="DW44" s="40"/>
      <c r="DX44" s="40"/>
      <c r="DY44" s="40"/>
    </row>
    <row r="45" spans="1:129" ht="9" customHeight="1" x14ac:dyDescent="0.2">
      <c r="A45" s="25"/>
      <c r="B45" s="128" t="s">
        <v>96</v>
      </c>
      <c r="C45" s="128"/>
      <c r="D45" s="128"/>
      <c r="E45" s="128"/>
      <c r="F45" s="128"/>
      <c r="G45" s="128"/>
      <c r="H45" s="128"/>
      <c r="I45" s="128"/>
      <c r="J45" s="128"/>
      <c r="K45" s="128"/>
      <c r="L45" s="128"/>
      <c r="M45" s="128"/>
      <c r="N45" s="128"/>
      <c r="O45" s="128"/>
      <c r="P45" s="128"/>
      <c r="Q45" s="128"/>
      <c r="R45" s="128"/>
      <c r="S45" s="128"/>
      <c r="T45" s="128"/>
      <c r="U45" s="128"/>
      <c r="V45" s="128"/>
      <c r="W45" s="128"/>
      <c r="X45" s="128"/>
      <c r="Y45" s="128"/>
      <c r="Z45" s="128"/>
      <c r="AA45" s="128"/>
      <c r="AB45" s="128"/>
      <c r="AC45" s="128"/>
      <c r="AD45" s="128"/>
      <c r="AE45" s="128"/>
      <c r="AF45" s="128"/>
      <c r="AG45" s="128"/>
      <c r="AH45" s="128"/>
      <c r="AI45" s="128"/>
      <c r="AJ45" s="128"/>
      <c r="AK45" s="128"/>
      <c r="AL45" s="128"/>
      <c r="AM45" s="128"/>
      <c r="AN45" s="128"/>
      <c r="AO45" s="128"/>
      <c r="AP45" s="128"/>
      <c r="AQ45" s="128"/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128"/>
      <c r="BF45" s="128"/>
      <c r="BG45" s="128"/>
      <c r="BH45" s="128"/>
      <c r="BI45" s="128"/>
      <c r="BJ45" s="128"/>
      <c r="BK45" s="128"/>
      <c r="BL45" s="128"/>
      <c r="BM45" s="128"/>
      <c r="BN45" s="128"/>
      <c r="BO45" s="128"/>
      <c r="BP45" s="157"/>
      <c r="BQ45" s="157"/>
      <c r="BR45" s="157"/>
      <c r="BS45" s="157"/>
      <c r="BT45" s="157"/>
      <c r="BU45" s="157"/>
      <c r="BV45" s="157"/>
      <c r="BW45" s="157"/>
      <c r="BX45" s="56"/>
      <c r="BY45" s="56"/>
      <c r="BZ45" s="56"/>
      <c r="CA45" s="56"/>
      <c r="CB45" s="150"/>
      <c r="CC45" s="151"/>
      <c r="CD45" s="152"/>
      <c r="CE45" s="150"/>
      <c r="CF45" s="151"/>
      <c r="CG45" s="152"/>
      <c r="CH45" s="150"/>
      <c r="CI45" s="151"/>
      <c r="CJ45" s="152"/>
      <c r="CK45" s="150"/>
      <c r="CL45" s="151"/>
      <c r="CM45" s="152"/>
      <c r="CN45" s="150"/>
      <c r="CO45" s="151"/>
      <c r="CP45" s="152"/>
      <c r="CQ45" s="150"/>
      <c r="CR45" s="151"/>
      <c r="CS45" s="152"/>
      <c r="CT45" s="150"/>
      <c r="CU45" s="151"/>
      <c r="CV45" s="152"/>
      <c r="CW45" s="150"/>
      <c r="CX45" s="151"/>
      <c r="CY45" s="152"/>
      <c r="CZ45" s="150"/>
      <c r="DA45" s="151"/>
      <c r="DB45" s="152"/>
      <c r="DC45" s="150"/>
      <c r="DD45" s="151"/>
      <c r="DE45" s="152"/>
      <c r="DF45" s="150"/>
      <c r="DG45" s="151"/>
      <c r="DH45" s="152"/>
      <c r="DI45" s="150"/>
      <c r="DJ45" s="151"/>
      <c r="DK45" s="152"/>
      <c r="DL45" s="20"/>
      <c r="DM45" s="20"/>
      <c r="DN45" s="20"/>
      <c r="DO45" s="20"/>
      <c r="DP45" s="20"/>
      <c r="DQ45" s="20"/>
      <c r="DR45" s="20"/>
      <c r="DS45" s="40"/>
      <c r="DT45" s="40"/>
      <c r="DU45" s="40"/>
      <c r="DV45" s="40"/>
      <c r="DW45" s="40"/>
      <c r="DX45" s="40"/>
      <c r="DY45" s="40"/>
    </row>
    <row r="46" spans="1:129" ht="15" customHeight="1" x14ac:dyDescent="0.2">
      <c r="A46" s="25"/>
      <c r="B46" s="192"/>
      <c r="C46" s="192"/>
      <c r="D46" s="192"/>
      <c r="E46" s="192"/>
      <c r="F46" s="192"/>
      <c r="G46" s="192"/>
      <c r="H46" s="192"/>
      <c r="I46" s="192"/>
      <c r="J46" s="192"/>
      <c r="K46" s="192"/>
      <c r="L46" s="192"/>
      <c r="M46" s="192"/>
      <c r="N46" s="192"/>
      <c r="O46" s="192"/>
      <c r="P46" s="192"/>
      <c r="Q46" s="192"/>
      <c r="R46" s="192"/>
      <c r="S46" s="192"/>
      <c r="T46" s="192"/>
      <c r="U46" s="192"/>
      <c r="V46" s="192"/>
      <c r="W46" s="192"/>
      <c r="X46" s="192"/>
      <c r="Y46" s="192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20"/>
      <c r="CY46" s="20"/>
      <c r="CZ46" s="20"/>
      <c r="DA46" s="20"/>
      <c r="DB46" s="20"/>
      <c r="DC46" s="20"/>
      <c r="DD46" s="20"/>
      <c r="DE46" s="20"/>
      <c r="DF46" s="20"/>
      <c r="DG46" s="20"/>
      <c r="DH46" s="20"/>
      <c r="DI46" s="20"/>
      <c r="DJ46" s="20"/>
      <c r="DK46" s="20"/>
      <c r="DL46" s="20"/>
      <c r="DM46" s="20"/>
      <c r="DN46" s="20"/>
      <c r="DO46" s="20"/>
      <c r="DP46" s="20"/>
      <c r="DQ46" s="20"/>
      <c r="DR46" s="20"/>
      <c r="DS46" s="40"/>
      <c r="DT46" s="40"/>
      <c r="DU46" s="40"/>
      <c r="DV46" s="40"/>
      <c r="DW46" s="40"/>
      <c r="DX46" s="40"/>
      <c r="DY46" s="40"/>
    </row>
    <row r="47" spans="1:129" ht="9" customHeight="1" x14ac:dyDescent="0.2">
      <c r="A47" s="20"/>
      <c r="B47" s="154" t="s">
        <v>89</v>
      </c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4"/>
      <c r="O47" s="154"/>
      <c r="P47" s="154"/>
      <c r="Q47" s="154"/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154"/>
      <c r="AC47" s="154"/>
      <c r="AD47" s="154"/>
      <c r="AE47" s="154"/>
      <c r="AF47" s="154"/>
      <c r="AG47" s="154"/>
      <c r="AH47" s="154"/>
      <c r="AI47" s="154"/>
      <c r="AJ47" s="154"/>
      <c r="AK47" s="154"/>
      <c r="AL47" s="154"/>
      <c r="AM47" s="154"/>
      <c r="AN47" s="154"/>
      <c r="AO47" s="154"/>
      <c r="AP47" s="154"/>
      <c r="AQ47" s="154"/>
      <c r="AR47" s="154"/>
      <c r="AS47" s="154"/>
      <c r="AT47" s="154"/>
      <c r="AU47" s="154"/>
      <c r="AV47" s="154"/>
      <c r="AW47" s="154"/>
      <c r="AX47" s="154"/>
      <c r="AY47" s="154"/>
      <c r="AZ47" s="154"/>
      <c r="BA47" s="154"/>
      <c r="BB47" s="154"/>
      <c r="BC47" s="154"/>
      <c r="BD47" s="154"/>
      <c r="BE47" s="154"/>
      <c r="BF47" s="154"/>
      <c r="BG47" s="154"/>
      <c r="BH47" s="154"/>
      <c r="BI47" s="154"/>
      <c r="BJ47" s="154"/>
      <c r="BK47" s="154"/>
      <c r="BL47" s="154"/>
      <c r="BM47" s="154"/>
      <c r="BN47" s="154"/>
      <c r="BO47" s="154"/>
      <c r="BP47" s="157" t="s">
        <v>99</v>
      </c>
      <c r="BQ47" s="157"/>
      <c r="BR47" s="157"/>
      <c r="BS47" s="157"/>
      <c r="BT47" s="157"/>
      <c r="BU47" s="157"/>
      <c r="BV47" s="157"/>
      <c r="BW47" s="157"/>
      <c r="BX47" s="56"/>
      <c r="BY47" s="56"/>
      <c r="BZ47" s="56"/>
      <c r="CA47" s="56"/>
      <c r="CB47" s="147" t="s">
        <v>152</v>
      </c>
      <c r="CC47" s="148"/>
      <c r="CD47" s="149"/>
      <c r="CE47" s="147" t="s">
        <v>152</v>
      </c>
      <c r="CF47" s="148"/>
      <c r="CG47" s="149"/>
      <c r="CH47" s="147" t="s">
        <v>53</v>
      </c>
      <c r="CI47" s="148"/>
      <c r="CJ47" s="149"/>
      <c r="CK47" s="147" t="s">
        <v>54</v>
      </c>
      <c r="CL47" s="148"/>
      <c r="CM47" s="149"/>
      <c r="CN47" s="147" t="s">
        <v>55</v>
      </c>
      <c r="CO47" s="148"/>
      <c r="CP47" s="149"/>
      <c r="CQ47" s="147" t="s">
        <v>169</v>
      </c>
      <c r="CR47" s="148"/>
      <c r="CS47" s="149"/>
      <c r="CT47" s="147" t="s">
        <v>169</v>
      </c>
      <c r="CU47" s="148"/>
      <c r="CV47" s="149"/>
      <c r="CW47" s="147" t="s">
        <v>169</v>
      </c>
      <c r="CX47" s="148"/>
      <c r="CY47" s="149"/>
      <c r="CZ47" s="147" t="s">
        <v>169</v>
      </c>
      <c r="DA47" s="148"/>
      <c r="DB47" s="149"/>
      <c r="DC47" s="147" t="s">
        <v>169</v>
      </c>
      <c r="DD47" s="148"/>
      <c r="DE47" s="149"/>
      <c r="DF47" s="147" t="s">
        <v>169</v>
      </c>
      <c r="DG47" s="148"/>
      <c r="DH47" s="149"/>
      <c r="DI47" s="147" t="s">
        <v>169</v>
      </c>
      <c r="DJ47" s="148"/>
      <c r="DK47" s="149"/>
      <c r="DL47" s="20"/>
      <c r="DM47" s="20"/>
      <c r="DN47" s="20"/>
      <c r="DO47" s="20"/>
      <c r="DP47" s="20"/>
      <c r="DQ47" s="20"/>
      <c r="DR47" s="20"/>
      <c r="DS47" s="40"/>
      <c r="DT47" s="40"/>
      <c r="DU47" s="40"/>
      <c r="DV47" s="40"/>
      <c r="DW47" s="40"/>
      <c r="DX47" s="40"/>
      <c r="DY47" s="40"/>
    </row>
    <row r="48" spans="1:129" ht="9" customHeight="1" x14ac:dyDescent="0.2">
      <c r="A48" s="20"/>
      <c r="B48" s="128" t="s">
        <v>98</v>
      </c>
      <c r="C48" s="128"/>
      <c r="D48" s="128"/>
      <c r="E48" s="128"/>
      <c r="F48" s="128"/>
      <c r="G48" s="128"/>
      <c r="H48" s="128"/>
      <c r="I48" s="128"/>
      <c r="J48" s="128"/>
      <c r="K48" s="128"/>
      <c r="L48" s="128"/>
      <c r="M48" s="128"/>
      <c r="N48" s="128"/>
      <c r="O48" s="128"/>
      <c r="P48" s="128"/>
      <c r="Q48" s="128"/>
      <c r="R48" s="128"/>
      <c r="S48" s="128"/>
      <c r="T48" s="128"/>
      <c r="U48" s="128"/>
      <c r="V48" s="128"/>
      <c r="W48" s="128"/>
      <c r="X48" s="128"/>
      <c r="Y48" s="128"/>
      <c r="Z48" s="128"/>
      <c r="AA48" s="128"/>
      <c r="AB48" s="128"/>
      <c r="AC48" s="128"/>
      <c r="AD48" s="128"/>
      <c r="AE48" s="128"/>
      <c r="AF48" s="128"/>
      <c r="AG48" s="128"/>
      <c r="AH48" s="128"/>
      <c r="AI48" s="128"/>
      <c r="AJ48" s="128"/>
      <c r="AK48" s="128"/>
      <c r="AL48" s="128"/>
      <c r="AM48" s="128"/>
      <c r="AN48" s="128"/>
      <c r="AO48" s="128"/>
      <c r="AP48" s="128"/>
      <c r="AQ48" s="128"/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128"/>
      <c r="BF48" s="128"/>
      <c r="BG48" s="128"/>
      <c r="BH48" s="128"/>
      <c r="BI48" s="128"/>
      <c r="BJ48" s="128"/>
      <c r="BK48" s="128"/>
      <c r="BL48" s="128"/>
      <c r="BM48" s="128"/>
      <c r="BN48" s="128"/>
      <c r="BO48" s="128"/>
      <c r="BP48" s="157"/>
      <c r="BQ48" s="157"/>
      <c r="BR48" s="157"/>
      <c r="BS48" s="157"/>
      <c r="BT48" s="157"/>
      <c r="BU48" s="157"/>
      <c r="BV48" s="157"/>
      <c r="BW48" s="157"/>
      <c r="BX48" s="56"/>
      <c r="BY48" s="56"/>
      <c r="BZ48" s="56"/>
      <c r="CA48" s="56"/>
      <c r="CB48" s="150"/>
      <c r="CC48" s="151"/>
      <c r="CD48" s="152"/>
      <c r="CE48" s="150"/>
      <c r="CF48" s="151"/>
      <c r="CG48" s="152"/>
      <c r="CH48" s="150"/>
      <c r="CI48" s="151"/>
      <c r="CJ48" s="152"/>
      <c r="CK48" s="150"/>
      <c r="CL48" s="151"/>
      <c r="CM48" s="152"/>
      <c r="CN48" s="150"/>
      <c r="CO48" s="151"/>
      <c r="CP48" s="152"/>
      <c r="CQ48" s="150"/>
      <c r="CR48" s="151"/>
      <c r="CS48" s="152"/>
      <c r="CT48" s="150"/>
      <c r="CU48" s="151"/>
      <c r="CV48" s="152"/>
      <c r="CW48" s="150"/>
      <c r="CX48" s="151"/>
      <c r="CY48" s="152"/>
      <c r="CZ48" s="150"/>
      <c r="DA48" s="151"/>
      <c r="DB48" s="152"/>
      <c r="DC48" s="150"/>
      <c r="DD48" s="151"/>
      <c r="DE48" s="152"/>
      <c r="DF48" s="150"/>
      <c r="DG48" s="151"/>
      <c r="DH48" s="152"/>
      <c r="DI48" s="150"/>
      <c r="DJ48" s="151"/>
      <c r="DK48" s="152"/>
      <c r="DL48" s="51"/>
      <c r="DM48" s="51"/>
      <c r="DN48" s="51"/>
      <c r="DO48" s="51"/>
      <c r="DP48" s="51"/>
      <c r="DQ48" s="51"/>
      <c r="DR48" s="20"/>
      <c r="DS48" s="40"/>
      <c r="DT48" s="40"/>
      <c r="DU48" s="40"/>
      <c r="DV48" s="40"/>
      <c r="DW48" s="40"/>
      <c r="DX48" s="40"/>
      <c r="DY48" s="40"/>
    </row>
    <row r="49" spans="1:129" ht="15" customHeight="1" x14ac:dyDescent="0.2">
      <c r="A49" s="20"/>
      <c r="B49" s="154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4"/>
      <c r="Q49" s="154"/>
      <c r="R49" s="154"/>
      <c r="S49" s="154"/>
      <c r="T49" s="154"/>
      <c r="U49" s="154"/>
      <c r="V49" s="154"/>
      <c r="W49" s="154"/>
      <c r="X49" s="154"/>
      <c r="Y49" s="154"/>
      <c r="Z49" s="154"/>
      <c r="AA49" s="154"/>
      <c r="AB49" s="154"/>
      <c r="AC49" s="154"/>
      <c r="AD49" s="154"/>
      <c r="AE49" s="154"/>
      <c r="AF49" s="154"/>
      <c r="AG49" s="154"/>
      <c r="AH49" s="154"/>
      <c r="AI49" s="154"/>
      <c r="AJ49" s="154"/>
      <c r="AK49" s="154"/>
      <c r="AL49" s="154"/>
      <c r="AM49" s="154"/>
      <c r="AN49" s="154"/>
      <c r="AO49" s="154"/>
      <c r="AP49" s="154"/>
      <c r="AQ49" s="154"/>
      <c r="AR49" s="154"/>
      <c r="AS49" s="154"/>
      <c r="AT49" s="154"/>
      <c r="AU49" s="154"/>
      <c r="AV49" s="154"/>
      <c r="AW49" s="154"/>
      <c r="AX49" s="154"/>
      <c r="AY49" s="154"/>
      <c r="AZ49" s="154"/>
      <c r="BA49" s="154"/>
      <c r="BB49" s="154"/>
      <c r="BC49" s="154"/>
      <c r="BD49" s="154"/>
      <c r="BE49" s="154"/>
      <c r="BF49" s="154"/>
      <c r="BG49" s="154"/>
      <c r="BH49" s="154"/>
      <c r="BI49" s="154"/>
      <c r="BJ49" s="154"/>
      <c r="BK49" s="154"/>
      <c r="BL49" s="154"/>
      <c r="BM49" s="154"/>
      <c r="BN49" s="154"/>
      <c r="BO49" s="154"/>
      <c r="BP49" s="55"/>
      <c r="BQ49" s="55"/>
      <c r="BR49" s="55"/>
      <c r="BS49" s="55"/>
      <c r="BT49" s="55"/>
      <c r="BU49" s="55"/>
      <c r="BV49" s="55"/>
      <c r="BW49" s="55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6"/>
      <c r="CR49" s="56"/>
      <c r="CS49" s="56"/>
      <c r="CT49" s="56"/>
      <c r="CU49" s="56"/>
      <c r="CV49" s="56"/>
      <c r="CW49" s="56"/>
      <c r="CX49" s="56"/>
      <c r="CY49" s="56"/>
      <c r="CZ49" s="56"/>
      <c r="DA49" s="56"/>
      <c r="DB49" s="56"/>
      <c r="DC49" s="56"/>
      <c r="DD49" s="56"/>
      <c r="DE49" s="56"/>
      <c r="DF49" s="56"/>
      <c r="DG49" s="56"/>
      <c r="DH49" s="56"/>
      <c r="DI49" s="56"/>
      <c r="DJ49" s="56"/>
      <c r="DK49" s="56"/>
      <c r="DL49" s="20"/>
      <c r="DM49" s="20"/>
      <c r="DN49" s="20"/>
      <c r="DO49" s="20"/>
      <c r="DP49" s="20"/>
      <c r="DQ49" s="20"/>
      <c r="DR49" s="20"/>
      <c r="DS49" s="40"/>
      <c r="DT49" s="40"/>
      <c r="DU49" s="40"/>
      <c r="DV49" s="40"/>
      <c r="DW49" s="40"/>
      <c r="DX49" s="40"/>
      <c r="DY49" s="40"/>
    </row>
    <row r="50" spans="1:129" ht="9" customHeight="1" x14ac:dyDescent="0.2">
      <c r="A50" s="20"/>
      <c r="B50" s="154" t="s">
        <v>91</v>
      </c>
      <c r="C50" s="154"/>
      <c r="D50" s="154"/>
      <c r="E50" s="154"/>
      <c r="F50" s="154"/>
      <c r="G50" s="154"/>
      <c r="H50" s="154"/>
      <c r="I50" s="154"/>
      <c r="J50" s="154"/>
      <c r="K50" s="154"/>
      <c r="L50" s="154"/>
      <c r="M50" s="154"/>
      <c r="N50" s="154"/>
      <c r="O50" s="154"/>
      <c r="P50" s="154"/>
      <c r="Q50" s="154"/>
      <c r="R50" s="154"/>
      <c r="S50" s="154"/>
      <c r="T50" s="154"/>
      <c r="U50" s="154"/>
      <c r="V50" s="154"/>
      <c r="W50" s="154"/>
      <c r="X50" s="154"/>
      <c r="Y50" s="154"/>
      <c r="Z50" s="154"/>
      <c r="AA50" s="154"/>
      <c r="AB50" s="154"/>
      <c r="AC50" s="154"/>
      <c r="AD50" s="154"/>
      <c r="AE50" s="154"/>
      <c r="AF50" s="154"/>
      <c r="AG50" s="154"/>
      <c r="AH50" s="154"/>
      <c r="AI50" s="154"/>
      <c r="AJ50" s="154"/>
      <c r="AK50" s="154"/>
      <c r="AL50" s="154"/>
      <c r="AM50" s="154"/>
      <c r="AN50" s="154"/>
      <c r="AO50" s="154"/>
      <c r="AP50" s="154"/>
      <c r="AQ50" s="154"/>
      <c r="AR50" s="154"/>
      <c r="AS50" s="154"/>
      <c r="AT50" s="154"/>
      <c r="AU50" s="154"/>
      <c r="AV50" s="154"/>
      <c r="AW50" s="154"/>
      <c r="AX50" s="154"/>
      <c r="AY50" s="154"/>
      <c r="AZ50" s="154"/>
      <c r="BA50" s="154"/>
      <c r="BB50" s="154"/>
      <c r="BC50" s="154"/>
      <c r="BD50" s="154"/>
      <c r="BE50" s="154"/>
      <c r="BF50" s="154"/>
      <c r="BG50" s="154"/>
      <c r="BH50" s="154"/>
      <c r="BI50" s="154"/>
      <c r="BJ50" s="154"/>
      <c r="BK50" s="154"/>
      <c r="BL50" s="154"/>
      <c r="BM50" s="154"/>
      <c r="BN50" s="154"/>
      <c r="BO50" s="154"/>
      <c r="BP50" s="157" t="s">
        <v>102</v>
      </c>
      <c r="BQ50" s="157"/>
      <c r="BR50" s="157"/>
      <c r="BS50" s="157"/>
      <c r="BT50" s="157"/>
      <c r="BU50" s="157"/>
      <c r="BV50" s="157"/>
      <c r="BW50" s="157"/>
      <c r="BX50" s="56"/>
      <c r="BY50" s="56"/>
      <c r="BZ50" s="56"/>
      <c r="CA50" s="56"/>
      <c r="CB50" s="147" t="s">
        <v>44</v>
      </c>
      <c r="CC50" s="148"/>
      <c r="CD50" s="149"/>
      <c r="CE50" s="147" t="s">
        <v>53</v>
      </c>
      <c r="CF50" s="148"/>
      <c r="CG50" s="149"/>
      <c r="CH50" s="147" t="s">
        <v>151</v>
      </c>
      <c r="CI50" s="148"/>
      <c r="CJ50" s="149"/>
      <c r="CK50" s="147" t="s">
        <v>53</v>
      </c>
      <c r="CL50" s="148"/>
      <c r="CM50" s="149"/>
      <c r="CN50" s="147" t="s">
        <v>151</v>
      </c>
      <c r="CO50" s="148"/>
      <c r="CP50" s="149"/>
      <c r="CQ50" s="147" t="s">
        <v>152</v>
      </c>
      <c r="CR50" s="148"/>
      <c r="CS50" s="149"/>
      <c r="CT50" s="147" t="s">
        <v>169</v>
      </c>
      <c r="CU50" s="148"/>
      <c r="CV50" s="149"/>
      <c r="CW50" s="147" t="s">
        <v>169</v>
      </c>
      <c r="CX50" s="148"/>
      <c r="CY50" s="149"/>
      <c r="CZ50" s="147" t="s">
        <v>169</v>
      </c>
      <c r="DA50" s="148"/>
      <c r="DB50" s="149"/>
      <c r="DC50" s="147" t="s">
        <v>169</v>
      </c>
      <c r="DD50" s="148"/>
      <c r="DE50" s="149"/>
      <c r="DF50" s="147" t="s">
        <v>169</v>
      </c>
      <c r="DG50" s="148"/>
      <c r="DH50" s="149"/>
      <c r="DI50" s="147" t="s">
        <v>169</v>
      </c>
      <c r="DJ50" s="148"/>
      <c r="DK50" s="149"/>
      <c r="DL50" s="32"/>
      <c r="DM50" s="32"/>
      <c r="DN50" s="32"/>
      <c r="DO50" s="32"/>
      <c r="DP50" s="32"/>
      <c r="DQ50" s="32"/>
      <c r="DR50" s="20"/>
      <c r="DS50" s="40"/>
      <c r="DT50" s="40"/>
      <c r="DU50" s="40"/>
      <c r="DV50" s="40"/>
      <c r="DW50" s="40"/>
      <c r="DX50" s="40"/>
      <c r="DY50" s="40"/>
    </row>
    <row r="51" spans="1:129" ht="9" customHeight="1" x14ac:dyDescent="0.2">
      <c r="A51" s="20"/>
      <c r="B51" s="128" t="s">
        <v>100</v>
      </c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8"/>
      <c r="Q51" s="128"/>
      <c r="R51" s="128"/>
      <c r="S51" s="128"/>
      <c r="T51" s="128"/>
      <c r="U51" s="128"/>
      <c r="V51" s="128"/>
      <c r="W51" s="128"/>
      <c r="X51" s="128"/>
      <c r="Y51" s="128"/>
      <c r="Z51" s="128"/>
      <c r="AA51" s="128"/>
      <c r="AB51" s="128"/>
      <c r="AC51" s="128"/>
      <c r="AD51" s="128"/>
      <c r="AE51" s="128"/>
      <c r="AF51" s="128"/>
      <c r="AG51" s="128"/>
      <c r="AH51" s="128"/>
      <c r="AI51" s="128"/>
      <c r="AJ51" s="128"/>
      <c r="AK51" s="128"/>
      <c r="AL51" s="128"/>
      <c r="AM51" s="128"/>
      <c r="AN51" s="128"/>
      <c r="AO51" s="128"/>
      <c r="AP51" s="128"/>
      <c r="AQ51" s="128"/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128"/>
      <c r="BF51" s="128"/>
      <c r="BG51" s="128"/>
      <c r="BH51" s="128"/>
      <c r="BI51" s="128"/>
      <c r="BJ51" s="128"/>
      <c r="BK51" s="128"/>
      <c r="BL51" s="128"/>
      <c r="BM51" s="128"/>
      <c r="BN51" s="128"/>
      <c r="BO51" s="128"/>
      <c r="BP51" s="157"/>
      <c r="BQ51" s="157"/>
      <c r="BR51" s="157"/>
      <c r="BS51" s="157"/>
      <c r="BT51" s="157"/>
      <c r="BU51" s="157"/>
      <c r="BV51" s="157"/>
      <c r="BW51" s="157"/>
      <c r="BX51" s="56"/>
      <c r="BY51" s="56"/>
      <c r="BZ51" s="56"/>
      <c r="CA51" s="56"/>
      <c r="CB51" s="150"/>
      <c r="CC51" s="151"/>
      <c r="CD51" s="152"/>
      <c r="CE51" s="150"/>
      <c r="CF51" s="151"/>
      <c r="CG51" s="152"/>
      <c r="CH51" s="150"/>
      <c r="CI51" s="151"/>
      <c r="CJ51" s="152"/>
      <c r="CK51" s="150"/>
      <c r="CL51" s="151"/>
      <c r="CM51" s="152"/>
      <c r="CN51" s="150"/>
      <c r="CO51" s="151"/>
      <c r="CP51" s="152"/>
      <c r="CQ51" s="150"/>
      <c r="CR51" s="151"/>
      <c r="CS51" s="152"/>
      <c r="CT51" s="150"/>
      <c r="CU51" s="151"/>
      <c r="CV51" s="152"/>
      <c r="CW51" s="150"/>
      <c r="CX51" s="151"/>
      <c r="CY51" s="152"/>
      <c r="CZ51" s="150"/>
      <c r="DA51" s="151"/>
      <c r="DB51" s="152"/>
      <c r="DC51" s="150"/>
      <c r="DD51" s="151"/>
      <c r="DE51" s="152"/>
      <c r="DF51" s="150"/>
      <c r="DG51" s="151"/>
      <c r="DH51" s="152"/>
      <c r="DI51" s="150"/>
      <c r="DJ51" s="151"/>
      <c r="DK51" s="152"/>
      <c r="DL51" s="20"/>
      <c r="DM51" s="20"/>
      <c r="DN51" s="20"/>
      <c r="DO51" s="20"/>
      <c r="DP51" s="20"/>
      <c r="DQ51" s="20"/>
      <c r="DR51" s="20"/>
      <c r="DS51" s="40"/>
      <c r="DT51" s="40"/>
      <c r="DU51" s="40"/>
      <c r="DV51" s="40"/>
      <c r="DW51" s="40"/>
      <c r="DX51" s="40"/>
      <c r="DY51" s="40"/>
    </row>
    <row r="52" spans="1:129" ht="15" customHeight="1" x14ac:dyDescent="0.2">
      <c r="A52" s="20"/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40"/>
      <c r="DT52" s="40"/>
      <c r="DU52" s="40"/>
      <c r="DV52" s="40"/>
      <c r="DW52" s="40"/>
      <c r="DX52" s="40"/>
      <c r="DY52" s="40"/>
    </row>
    <row r="53" spans="1:129" ht="9" customHeight="1" x14ac:dyDescent="0.2">
      <c r="A53" s="20"/>
      <c r="B53" s="154" t="s">
        <v>93</v>
      </c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  <c r="N53" s="154"/>
      <c r="O53" s="154"/>
      <c r="P53" s="154"/>
      <c r="Q53" s="154"/>
      <c r="R53" s="154"/>
      <c r="S53" s="154"/>
      <c r="T53" s="154"/>
      <c r="U53" s="154"/>
      <c r="V53" s="154"/>
      <c r="W53" s="154"/>
      <c r="X53" s="154"/>
      <c r="Y53" s="154"/>
      <c r="Z53" s="154"/>
      <c r="AA53" s="154"/>
      <c r="AB53" s="154"/>
      <c r="AC53" s="154"/>
      <c r="AD53" s="154"/>
      <c r="AE53" s="154"/>
      <c r="AF53" s="154"/>
      <c r="AG53" s="154"/>
      <c r="AH53" s="154"/>
      <c r="AI53" s="154"/>
      <c r="AJ53" s="154"/>
      <c r="AK53" s="154"/>
      <c r="AL53" s="154"/>
      <c r="AM53" s="154"/>
      <c r="AN53" s="154"/>
      <c r="AO53" s="154"/>
      <c r="AP53" s="154"/>
      <c r="AQ53" s="154"/>
      <c r="AR53" s="154"/>
      <c r="AS53" s="154"/>
      <c r="AT53" s="154"/>
      <c r="AU53" s="154"/>
      <c r="AV53" s="154"/>
      <c r="AW53" s="154"/>
      <c r="AX53" s="154"/>
      <c r="AY53" s="154"/>
      <c r="AZ53" s="154"/>
      <c r="BA53" s="154"/>
      <c r="BB53" s="154"/>
      <c r="BC53" s="154"/>
      <c r="BD53" s="154"/>
      <c r="BE53" s="154"/>
      <c r="BF53" s="154"/>
      <c r="BG53" s="154"/>
      <c r="BH53" s="154"/>
      <c r="BI53" s="154"/>
      <c r="BJ53" s="154"/>
      <c r="BK53" s="154"/>
      <c r="BL53" s="154"/>
      <c r="BM53" s="154"/>
      <c r="BN53" s="154"/>
      <c r="BO53" s="154"/>
      <c r="BP53" s="157" t="s">
        <v>103</v>
      </c>
      <c r="BQ53" s="157"/>
      <c r="BR53" s="157"/>
      <c r="BS53" s="157"/>
      <c r="BT53" s="157"/>
      <c r="BU53" s="157"/>
      <c r="BV53" s="157"/>
      <c r="BW53" s="157"/>
      <c r="BX53" s="56"/>
      <c r="BY53" s="56"/>
      <c r="BZ53" s="56"/>
      <c r="CA53" s="56"/>
      <c r="CB53" s="147" t="s">
        <v>44</v>
      </c>
      <c r="CC53" s="148"/>
      <c r="CD53" s="149"/>
      <c r="CE53" s="147" t="s">
        <v>152</v>
      </c>
      <c r="CF53" s="148"/>
      <c r="CG53" s="149"/>
      <c r="CH53" s="147" t="s">
        <v>55</v>
      </c>
      <c r="CI53" s="148"/>
      <c r="CJ53" s="149"/>
      <c r="CK53" s="147" t="s">
        <v>152</v>
      </c>
      <c r="CL53" s="148"/>
      <c r="CM53" s="149"/>
      <c r="CN53" s="147" t="s">
        <v>151</v>
      </c>
      <c r="CO53" s="148"/>
      <c r="CP53" s="149"/>
      <c r="CQ53" s="147" t="s">
        <v>53</v>
      </c>
      <c r="CR53" s="148"/>
      <c r="CS53" s="149"/>
      <c r="CT53" s="147" t="s">
        <v>169</v>
      </c>
      <c r="CU53" s="148"/>
      <c r="CV53" s="149"/>
      <c r="CW53" s="147" t="s">
        <v>169</v>
      </c>
      <c r="CX53" s="148"/>
      <c r="CY53" s="149"/>
      <c r="CZ53" s="147" t="s">
        <v>169</v>
      </c>
      <c r="DA53" s="148"/>
      <c r="DB53" s="149"/>
      <c r="DC53" s="147" t="s">
        <v>169</v>
      </c>
      <c r="DD53" s="148"/>
      <c r="DE53" s="149"/>
      <c r="DF53" s="147" t="s">
        <v>169</v>
      </c>
      <c r="DG53" s="148"/>
      <c r="DH53" s="149"/>
      <c r="DI53" s="147" t="s">
        <v>169</v>
      </c>
      <c r="DJ53" s="148"/>
      <c r="DK53" s="149"/>
      <c r="DL53" s="20"/>
      <c r="DM53" s="20"/>
      <c r="DN53" s="20"/>
      <c r="DO53" s="20"/>
      <c r="DP53" s="20"/>
      <c r="DQ53" s="20"/>
      <c r="DR53" s="20"/>
      <c r="DS53" s="40"/>
      <c r="DT53" s="40"/>
      <c r="DU53" s="40"/>
      <c r="DV53" s="40"/>
      <c r="DW53" s="40"/>
      <c r="DX53" s="40"/>
      <c r="DY53" s="40"/>
    </row>
    <row r="54" spans="1:129" ht="9" customHeight="1" x14ac:dyDescent="0.2">
      <c r="A54" s="20"/>
      <c r="B54" s="128" t="s">
        <v>101</v>
      </c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28"/>
      <c r="X54" s="128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  <c r="BP54" s="157"/>
      <c r="BQ54" s="157"/>
      <c r="BR54" s="157"/>
      <c r="BS54" s="157"/>
      <c r="BT54" s="157"/>
      <c r="BU54" s="157"/>
      <c r="BV54" s="157"/>
      <c r="BW54" s="157"/>
      <c r="BX54" s="56"/>
      <c r="BY54" s="56"/>
      <c r="BZ54" s="56"/>
      <c r="CA54" s="56"/>
      <c r="CB54" s="150"/>
      <c r="CC54" s="151"/>
      <c r="CD54" s="152"/>
      <c r="CE54" s="150"/>
      <c r="CF54" s="151"/>
      <c r="CG54" s="152"/>
      <c r="CH54" s="150"/>
      <c r="CI54" s="151"/>
      <c r="CJ54" s="152"/>
      <c r="CK54" s="150"/>
      <c r="CL54" s="151"/>
      <c r="CM54" s="152"/>
      <c r="CN54" s="150"/>
      <c r="CO54" s="151"/>
      <c r="CP54" s="152"/>
      <c r="CQ54" s="150"/>
      <c r="CR54" s="151"/>
      <c r="CS54" s="152"/>
      <c r="CT54" s="150"/>
      <c r="CU54" s="151"/>
      <c r="CV54" s="152"/>
      <c r="CW54" s="150"/>
      <c r="CX54" s="151"/>
      <c r="CY54" s="152"/>
      <c r="CZ54" s="150"/>
      <c r="DA54" s="151"/>
      <c r="DB54" s="152"/>
      <c r="DC54" s="150"/>
      <c r="DD54" s="151"/>
      <c r="DE54" s="152"/>
      <c r="DF54" s="150"/>
      <c r="DG54" s="151"/>
      <c r="DH54" s="152"/>
      <c r="DI54" s="150"/>
      <c r="DJ54" s="151"/>
      <c r="DK54" s="152"/>
      <c r="DL54" s="20"/>
      <c r="DM54" s="20"/>
      <c r="DN54" s="20"/>
      <c r="DO54" s="20"/>
      <c r="DP54" s="20"/>
      <c r="DQ54" s="20"/>
      <c r="DR54" s="20"/>
      <c r="DS54" s="40"/>
      <c r="DT54" s="40"/>
      <c r="DU54" s="40"/>
      <c r="DV54" s="40"/>
      <c r="DW54" s="40"/>
      <c r="DX54" s="40"/>
      <c r="DY54" s="40"/>
    </row>
    <row r="55" spans="1:129" ht="15" customHeight="1" x14ac:dyDescent="0.2">
      <c r="A55" s="20"/>
      <c r="B55" s="154"/>
      <c r="C55" s="154"/>
      <c r="D55" s="154"/>
      <c r="E55" s="154"/>
      <c r="F55" s="154"/>
      <c r="G55" s="154"/>
      <c r="H55" s="154"/>
      <c r="I55" s="154"/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154"/>
      <c r="AC55" s="154"/>
      <c r="AD55" s="154"/>
      <c r="AE55" s="154"/>
      <c r="AF55" s="154"/>
      <c r="AG55" s="154"/>
      <c r="AH55" s="154"/>
      <c r="AI55" s="154"/>
      <c r="AJ55" s="154"/>
      <c r="AK55" s="154"/>
      <c r="AL55" s="154"/>
      <c r="AM55" s="154"/>
      <c r="AN55" s="154"/>
      <c r="AO55" s="154"/>
      <c r="AP55" s="154"/>
      <c r="AQ55" s="154"/>
      <c r="AR55" s="154"/>
      <c r="AS55" s="154"/>
      <c r="AT55" s="154"/>
      <c r="AU55" s="154"/>
      <c r="AV55" s="154"/>
      <c r="AW55" s="154"/>
      <c r="AX55" s="154"/>
      <c r="AY55" s="154"/>
      <c r="AZ55" s="154"/>
      <c r="BA55" s="154"/>
      <c r="BB55" s="154"/>
      <c r="BC55" s="154"/>
      <c r="BD55" s="154"/>
      <c r="BE55" s="154"/>
      <c r="BF55" s="154"/>
      <c r="BG55" s="154"/>
      <c r="BH55" s="154"/>
      <c r="BI55" s="154"/>
      <c r="BJ55" s="154"/>
      <c r="BK55" s="154"/>
      <c r="BL55" s="154"/>
      <c r="BM55" s="154"/>
      <c r="BN55" s="154"/>
      <c r="BO55" s="154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40"/>
      <c r="DT55" s="40"/>
      <c r="DU55" s="40"/>
      <c r="DV55" s="40"/>
      <c r="DW55" s="40"/>
      <c r="DX55" s="40"/>
      <c r="DY55" s="40"/>
    </row>
    <row r="56" spans="1:129" ht="12" customHeight="1" x14ac:dyDescent="0.2">
      <c r="A56" s="20"/>
      <c r="B56" s="112" t="s">
        <v>104</v>
      </c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K56" s="112"/>
      <c r="AL56" s="112"/>
      <c r="AM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X56" s="112"/>
      <c r="AY56" s="112"/>
      <c r="AZ56" s="112"/>
      <c r="BA56" s="112"/>
      <c r="BB56" s="112"/>
      <c r="BC56" s="112"/>
      <c r="BD56" s="112"/>
      <c r="BE56" s="112"/>
      <c r="BF56" s="112"/>
      <c r="BG56" s="112"/>
      <c r="BH56" s="112"/>
      <c r="BI56" s="112"/>
      <c r="BJ56" s="112"/>
      <c r="BK56" s="112"/>
      <c r="BL56" s="112"/>
      <c r="BM56" s="112"/>
      <c r="BN56" s="112"/>
      <c r="BO56" s="112"/>
      <c r="BP56" s="55"/>
      <c r="BQ56" s="55"/>
      <c r="BR56" s="55"/>
      <c r="BS56" s="55"/>
      <c r="BT56" s="55"/>
      <c r="BU56" s="55"/>
      <c r="BV56" s="55"/>
      <c r="BW56" s="55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  <c r="CY56" s="51"/>
      <c r="CZ56" s="51"/>
      <c r="DA56" s="51"/>
      <c r="DB56" s="51"/>
      <c r="DC56" s="51"/>
      <c r="DD56" s="51"/>
      <c r="DE56" s="51"/>
      <c r="DF56" s="51"/>
      <c r="DG56" s="51"/>
      <c r="DH56" s="51"/>
      <c r="DI56" s="20"/>
      <c r="DJ56" s="20"/>
      <c r="DK56" s="20"/>
      <c r="DL56" s="20"/>
      <c r="DM56" s="20"/>
      <c r="DN56" s="20"/>
      <c r="DO56" s="20"/>
      <c r="DP56" s="15"/>
      <c r="DQ56" s="15"/>
      <c r="DR56" s="20"/>
      <c r="DS56" s="40"/>
      <c r="DT56" s="40"/>
      <c r="DU56" s="40"/>
      <c r="DV56" s="40"/>
      <c r="DW56" s="40"/>
      <c r="DX56" s="40"/>
      <c r="DY56" s="40"/>
    </row>
    <row r="57" spans="1:129" ht="12" customHeight="1" x14ac:dyDescent="0.2">
      <c r="A57" s="20"/>
      <c r="B57" s="187" t="s">
        <v>105</v>
      </c>
      <c r="C57" s="187"/>
      <c r="D57" s="187"/>
      <c r="E57" s="187"/>
      <c r="F57" s="187"/>
      <c r="G57" s="187"/>
      <c r="H57" s="187"/>
      <c r="I57" s="187"/>
      <c r="J57" s="187"/>
      <c r="K57" s="187"/>
      <c r="L57" s="187"/>
      <c r="M57" s="187"/>
      <c r="N57" s="187"/>
      <c r="O57" s="187"/>
      <c r="P57" s="187"/>
      <c r="Q57" s="187"/>
      <c r="R57" s="187"/>
      <c r="S57" s="187"/>
      <c r="T57" s="187"/>
      <c r="U57" s="187"/>
      <c r="V57" s="187"/>
      <c r="W57" s="187"/>
      <c r="X57" s="187"/>
      <c r="Y57" s="187"/>
      <c r="Z57" s="187"/>
      <c r="AA57" s="187"/>
      <c r="AB57" s="187"/>
      <c r="AC57" s="187"/>
      <c r="AD57" s="187"/>
      <c r="AE57" s="187"/>
      <c r="AF57" s="187"/>
      <c r="AG57" s="187"/>
      <c r="AH57" s="187"/>
      <c r="AI57" s="187"/>
      <c r="AJ57" s="187"/>
      <c r="AK57" s="187"/>
      <c r="AL57" s="187"/>
      <c r="AM57" s="187"/>
      <c r="AN57" s="187"/>
      <c r="AO57" s="187"/>
      <c r="AP57" s="187"/>
      <c r="AQ57" s="187"/>
      <c r="AR57" s="187"/>
      <c r="AS57" s="187"/>
      <c r="AT57" s="187"/>
      <c r="AU57" s="187"/>
      <c r="AV57" s="187"/>
      <c r="AW57" s="187"/>
      <c r="AX57" s="187"/>
      <c r="AY57" s="187"/>
      <c r="AZ57" s="187"/>
      <c r="BA57" s="187"/>
      <c r="BB57" s="187"/>
      <c r="BC57" s="187"/>
      <c r="BD57" s="187"/>
      <c r="BE57" s="187"/>
      <c r="BF57" s="187"/>
      <c r="BG57" s="187"/>
      <c r="BH57" s="187"/>
      <c r="BI57" s="187"/>
      <c r="BJ57" s="187"/>
      <c r="BK57" s="187"/>
      <c r="BL57" s="187"/>
      <c r="BM57" s="187"/>
      <c r="BN57" s="187"/>
      <c r="BO57" s="187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  <c r="CT57" s="20"/>
      <c r="CU57" s="20"/>
      <c r="CV57" s="20"/>
      <c r="CW57" s="20"/>
      <c r="CX57" s="20"/>
      <c r="CY57" s="20"/>
      <c r="CZ57" s="20"/>
      <c r="DA57" s="20"/>
      <c r="DB57" s="20"/>
      <c r="DC57" s="20"/>
      <c r="DD57" s="20"/>
      <c r="DE57" s="20"/>
      <c r="DF57" s="20"/>
      <c r="DG57" s="20"/>
      <c r="DH57" s="20"/>
      <c r="DI57" s="20"/>
      <c r="DJ57" s="20"/>
      <c r="DK57" s="20"/>
      <c r="DL57" s="20"/>
      <c r="DM57" s="20"/>
      <c r="DN57" s="20"/>
      <c r="DO57" s="20"/>
      <c r="DP57" s="15"/>
      <c r="DQ57" s="15"/>
      <c r="DR57" s="20"/>
      <c r="DS57" s="40"/>
      <c r="DT57" s="40"/>
      <c r="DU57" s="40"/>
      <c r="DV57" s="40"/>
      <c r="DW57" s="40"/>
      <c r="DX57" s="40"/>
      <c r="DY57" s="40"/>
    </row>
    <row r="58" spans="1:129" ht="12" customHeight="1" x14ac:dyDescent="0.2">
      <c r="A58" s="20"/>
      <c r="B58" s="187" t="s">
        <v>106</v>
      </c>
      <c r="C58" s="187"/>
      <c r="D58" s="187"/>
      <c r="E58" s="187"/>
      <c r="F58" s="187"/>
      <c r="G58" s="187"/>
      <c r="H58" s="187"/>
      <c r="I58" s="187"/>
      <c r="J58" s="187"/>
      <c r="K58" s="187"/>
      <c r="L58" s="187"/>
      <c r="M58" s="187"/>
      <c r="N58" s="187"/>
      <c r="O58" s="187"/>
      <c r="P58" s="187"/>
      <c r="Q58" s="187"/>
      <c r="R58" s="187"/>
      <c r="S58" s="187"/>
      <c r="T58" s="187"/>
      <c r="U58" s="187"/>
      <c r="V58" s="187"/>
      <c r="W58" s="187"/>
      <c r="X58" s="187"/>
      <c r="Y58" s="187"/>
      <c r="Z58" s="187"/>
      <c r="AA58" s="187"/>
      <c r="AB58" s="187"/>
      <c r="AC58" s="187"/>
      <c r="AD58" s="187"/>
      <c r="AE58" s="187"/>
      <c r="AF58" s="187"/>
      <c r="AG58" s="187"/>
      <c r="AH58" s="187"/>
      <c r="AI58" s="187"/>
      <c r="AJ58" s="187"/>
      <c r="AK58" s="187"/>
      <c r="AL58" s="187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X58" s="187"/>
      <c r="AY58" s="187"/>
      <c r="AZ58" s="187"/>
      <c r="BA58" s="187"/>
      <c r="BB58" s="187"/>
      <c r="BC58" s="187"/>
      <c r="BD58" s="187"/>
      <c r="BE58" s="187"/>
      <c r="BF58" s="187"/>
      <c r="BG58" s="187"/>
      <c r="BH58" s="187"/>
      <c r="BI58" s="187"/>
      <c r="BJ58" s="187"/>
      <c r="BK58" s="187"/>
      <c r="BL58" s="187"/>
      <c r="BM58" s="187"/>
      <c r="BN58" s="187"/>
      <c r="BO58" s="187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  <c r="CT58" s="20"/>
      <c r="CU58" s="20"/>
      <c r="CV58" s="20"/>
      <c r="CW58" s="20"/>
      <c r="CX58" s="20"/>
      <c r="CY58" s="20"/>
      <c r="CZ58" s="20"/>
      <c r="DA58" s="20"/>
      <c r="DB58" s="20"/>
      <c r="DC58" s="20"/>
      <c r="DD58" s="20"/>
      <c r="DE58" s="20"/>
      <c r="DF58" s="20"/>
      <c r="DG58" s="20"/>
      <c r="DH58" s="20"/>
      <c r="DI58" s="20"/>
      <c r="DJ58" s="20"/>
      <c r="DK58" s="20"/>
      <c r="DL58" s="20"/>
      <c r="DM58" s="20"/>
      <c r="DN58" s="20"/>
      <c r="DO58" s="20"/>
      <c r="DP58" s="15"/>
      <c r="DQ58" s="15"/>
      <c r="DR58" s="20"/>
      <c r="DS58" s="40"/>
      <c r="DT58" s="40"/>
      <c r="DU58" s="40"/>
      <c r="DV58" s="40"/>
      <c r="DW58" s="40"/>
      <c r="DX58" s="40"/>
      <c r="DY58" s="40"/>
    </row>
    <row r="59" spans="1:129" ht="12" customHeight="1" x14ac:dyDescent="0.2">
      <c r="A59" s="20"/>
      <c r="B59" s="187" t="s">
        <v>107</v>
      </c>
      <c r="C59" s="187"/>
      <c r="D59" s="187"/>
      <c r="E59" s="187"/>
      <c r="F59" s="187"/>
      <c r="G59" s="187"/>
      <c r="H59" s="187"/>
      <c r="I59" s="187"/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  <c r="X59" s="187"/>
      <c r="Y59" s="187"/>
      <c r="Z59" s="187"/>
      <c r="AA59" s="187"/>
      <c r="AB59" s="187"/>
      <c r="AC59" s="187"/>
      <c r="AD59" s="187"/>
      <c r="AE59" s="187"/>
      <c r="AF59" s="187"/>
      <c r="AG59" s="187"/>
      <c r="AH59" s="187"/>
      <c r="AI59" s="187"/>
      <c r="AJ59" s="187"/>
      <c r="AK59" s="187"/>
      <c r="AL59" s="187"/>
      <c r="AM59" s="187"/>
      <c r="AN59" s="187"/>
      <c r="AO59" s="187"/>
      <c r="AP59" s="187"/>
      <c r="AQ59" s="187"/>
      <c r="AR59" s="187"/>
      <c r="AS59" s="187"/>
      <c r="AT59" s="187"/>
      <c r="AU59" s="187"/>
      <c r="AV59" s="187"/>
      <c r="AW59" s="187"/>
      <c r="AX59" s="187"/>
      <c r="AY59" s="187"/>
      <c r="AZ59" s="187"/>
      <c r="BA59" s="187"/>
      <c r="BB59" s="187"/>
      <c r="BC59" s="187"/>
      <c r="BD59" s="187"/>
      <c r="BE59" s="187"/>
      <c r="BF59" s="187"/>
      <c r="BG59" s="187"/>
      <c r="BH59" s="187"/>
      <c r="BI59" s="187"/>
      <c r="BJ59" s="187"/>
      <c r="BK59" s="187"/>
      <c r="BL59" s="187"/>
      <c r="BM59" s="187"/>
      <c r="BN59" s="187"/>
      <c r="BO59" s="187"/>
      <c r="BP59" s="55"/>
      <c r="BQ59" s="55"/>
      <c r="BR59" s="55"/>
      <c r="BS59" s="55"/>
      <c r="BT59" s="55"/>
      <c r="BU59" s="55"/>
      <c r="BV59" s="55"/>
      <c r="BW59" s="55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20"/>
      <c r="DM59" s="20"/>
      <c r="DN59" s="20"/>
      <c r="DO59" s="20"/>
      <c r="DP59" s="15"/>
      <c r="DQ59" s="15"/>
      <c r="DR59" s="20"/>
      <c r="DS59" s="40"/>
      <c r="DT59" s="40"/>
      <c r="DU59" s="40"/>
      <c r="DV59" s="40"/>
      <c r="DW59" s="40"/>
      <c r="DX59" s="40"/>
      <c r="DY59" s="40"/>
    </row>
    <row r="60" spans="1:129" ht="12" customHeight="1" x14ac:dyDescent="0.25">
      <c r="A60" s="20"/>
      <c r="B60" s="186" t="s">
        <v>108</v>
      </c>
      <c r="C60" s="186"/>
      <c r="D60" s="186"/>
      <c r="E60" s="186"/>
      <c r="F60" s="186"/>
      <c r="G60" s="186"/>
      <c r="H60" s="186"/>
      <c r="I60" s="186"/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86"/>
      <c r="W60" s="186"/>
      <c r="X60" s="186"/>
      <c r="Y60" s="186"/>
      <c r="Z60" s="186"/>
      <c r="AA60" s="186"/>
      <c r="AB60" s="186"/>
      <c r="AC60" s="186"/>
      <c r="AD60" s="186"/>
      <c r="AE60" s="186"/>
      <c r="AF60" s="186"/>
      <c r="AG60" s="186"/>
      <c r="AH60" s="186"/>
      <c r="AI60" s="186"/>
      <c r="AJ60" s="186"/>
      <c r="AK60" s="186"/>
      <c r="AL60" s="186"/>
      <c r="AM60" s="186"/>
      <c r="AN60" s="186"/>
      <c r="AO60" s="186"/>
      <c r="AP60" s="186"/>
      <c r="AQ60" s="186"/>
      <c r="AR60" s="186"/>
      <c r="AS60" s="186"/>
      <c r="AT60" s="186"/>
      <c r="AU60" s="186"/>
      <c r="AV60" s="186"/>
      <c r="AW60" s="186"/>
      <c r="AX60" s="186"/>
      <c r="AY60" s="186"/>
      <c r="AZ60" s="186"/>
      <c r="BA60" s="186"/>
      <c r="BB60" s="186"/>
      <c r="BC60" s="186"/>
      <c r="BD60" s="186"/>
      <c r="BE60" s="186"/>
      <c r="BF60" s="186"/>
      <c r="BG60" s="186"/>
      <c r="BH60" s="186"/>
      <c r="BI60" s="186"/>
      <c r="BJ60" s="186"/>
      <c r="BK60" s="186"/>
      <c r="BL60" s="186"/>
      <c r="BM60" s="186"/>
      <c r="BN60" s="186"/>
      <c r="BO60" s="186"/>
      <c r="BP60" s="55"/>
      <c r="BQ60" s="55"/>
      <c r="BR60" s="55"/>
      <c r="BS60" s="55"/>
      <c r="BT60" s="55"/>
      <c r="BU60" s="55"/>
      <c r="BV60" s="55"/>
      <c r="BW60" s="55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"/>
      <c r="DM60" s="5"/>
      <c r="DN60" s="5"/>
      <c r="DO60" s="49"/>
      <c r="DP60" s="33"/>
      <c r="DQ60" s="33"/>
      <c r="DR60" s="20"/>
      <c r="DS60" s="40"/>
      <c r="DT60" s="40"/>
      <c r="DU60" s="40"/>
      <c r="DV60" s="40"/>
      <c r="DW60" s="40"/>
      <c r="DX60" s="40"/>
      <c r="DY60" s="40"/>
    </row>
    <row r="61" spans="1:129" ht="12" customHeight="1" x14ac:dyDescent="0.25">
      <c r="A61" s="20"/>
      <c r="B61" s="186" t="s">
        <v>109</v>
      </c>
      <c r="C61" s="186"/>
      <c r="D61" s="186"/>
      <c r="E61" s="186"/>
      <c r="F61" s="186"/>
      <c r="G61" s="186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86"/>
      <c r="W61" s="186"/>
      <c r="X61" s="186"/>
      <c r="Y61" s="186"/>
      <c r="Z61" s="186"/>
      <c r="AA61" s="186"/>
      <c r="AB61" s="186"/>
      <c r="AC61" s="186"/>
      <c r="AD61" s="186"/>
      <c r="AE61" s="186"/>
      <c r="AF61" s="186"/>
      <c r="AG61" s="186"/>
      <c r="AH61" s="186"/>
      <c r="AI61" s="186"/>
      <c r="AJ61" s="186"/>
      <c r="AK61" s="186"/>
      <c r="AL61" s="186"/>
      <c r="AM61" s="186"/>
      <c r="AN61" s="186"/>
      <c r="AO61" s="186"/>
      <c r="AP61" s="186"/>
      <c r="AQ61" s="186"/>
      <c r="AR61" s="186"/>
      <c r="AS61" s="186"/>
      <c r="AT61" s="186"/>
      <c r="AU61" s="186"/>
      <c r="AV61" s="186"/>
      <c r="AW61" s="186"/>
      <c r="AX61" s="186"/>
      <c r="AY61" s="186"/>
      <c r="AZ61" s="186"/>
      <c r="BA61" s="186"/>
      <c r="BB61" s="186"/>
      <c r="BC61" s="186"/>
      <c r="BD61" s="186"/>
      <c r="BE61" s="186"/>
      <c r="BF61" s="186"/>
      <c r="BG61" s="186"/>
      <c r="BH61" s="186"/>
      <c r="BI61" s="186"/>
      <c r="BJ61" s="186"/>
      <c r="BK61" s="186"/>
      <c r="BL61" s="186"/>
      <c r="BM61" s="186"/>
      <c r="BN61" s="186"/>
      <c r="BO61" s="186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49"/>
      <c r="DP61" s="33"/>
      <c r="DQ61" s="33"/>
      <c r="DR61" s="20"/>
      <c r="DS61" s="40"/>
      <c r="DT61" s="40"/>
      <c r="DU61" s="40"/>
      <c r="DV61" s="40"/>
      <c r="DW61" s="40"/>
      <c r="DX61" s="40"/>
      <c r="DY61" s="40"/>
    </row>
    <row r="62" spans="1:129" ht="12" customHeight="1" x14ac:dyDescent="0.25">
      <c r="A62" s="20"/>
      <c r="B62" s="186" t="s">
        <v>110</v>
      </c>
      <c r="C62" s="186"/>
      <c r="D62" s="186"/>
      <c r="E62" s="186"/>
      <c r="F62" s="186"/>
      <c r="G62" s="186"/>
      <c r="H62" s="186"/>
      <c r="I62" s="186"/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  <c r="X62" s="186"/>
      <c r="Y62" s="186"/>
      <c r="Z62" s="186"/>
      <c r="AA62" s="186"/>
      <c r="AB62" s="186"/>
      <c r="AC62" s="186"/>
      <c r="AD62" s="186"/>
      <c r="AE62" s="186"/>
      <c r="AF62" s="186"/>
      <c r="AG62" s="186"/>
      <c r="AH62" s="186"/>
      <c r="AI62" s="186"/>
      <c r="AJ62" s="186"/>
      <c r="AK62" s="186"/>
      <c r="AL62" s="186"/>
      <c r="AM62" s="186"/>
      <c r="AN62" s="186"/>
      <c r="AO62" s="186"/>
      <c r="AP62" s="186"/>
      <c r="AQ62" s="186"/>
      <c r="AR62" s="186"/>
      <c r="AS62" s="186"/>
      <c r="AT62" s="186"/>
      <c r="AU62" s="186"/>
      <c r="AV62" s="186"/>
      <c r="AW62" s="186"/>
      <c r="AX62" s="186"/>
      <c r="AY62" s="186"/>
      <c r="AZ62" s="186"/>
      <c r="BA62" s="186"/>
      <c r="BB62" s="186"/>
      <c r="BC62" s="186"/>
      <c r="BD62" s="186"/>
      <c r="BE62" s="186"/>
      <c r="BF62" s="186"/>
      <c r="BG62" s="186"/>
      <c r="BH62" s="186"/>
      <c r="BI62" s="186"/>
      <c r="BJ62" s="186"/>
      <c r="BK62" s="186"/>
      <c r="BL62" s="186"/>
      <c r="BM62" s="186"/>
      <c r="BN62" s="186"/>
      <c r="BO62" s="186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49"/>
      <c r="DP62" s="33"/>
      <c r="DQ62" s="33"/>
      <c r="DR62" s="20"/>
      <c r="DS62" s="40"/>
      <c r="DT62" s="40"/>
      <c r="DU62" s="40"/>
      <c r="DV62" s="40"/>
      <c r="DW62" s="40"/>
      <c r="DX62" s="40"/>
      <c r="DY62" s="40"/>
    </row>
    <row r="63" spans="1:129" ht="15" customHeight="1" x14ac:dyDescent="0.25">
      <c r="A63" s="20"/>
      <c r="B63" s="183"/>
      <c r="C63" s="183"/>
      <c r="D63" s="183"/>
      <c r="E63" s="183"/>
      <c r="F63" s="183"/>
      <c r="G63" s="183"/>
      <c r="H63" s="183"/>
      <c r="I63" s="183"/>
      <c r="J63" s="183"/>
      <c r="K63" s="183"/>
      <c r="L63" s="183"/>
      <c r="M63" s="183"/>
      <c r="N63" s="183"/>
      <c r="O63" s="183"/>
      <c r="P63" s="183"/>
      <c r="Q63" s="183"/>
      <c r="R63" s="183"/>
      <c r="S63" s="183"/>
      <c r="T63" s="183"/>
      <c r="U63" s="183"/>
      <c r="V63" s="183"/>
      <c r="W63" s="183"/>
      <c r="X63" s="183"/>
      <c r="Y63" s="183"/>
      <c r="Z63" s="183"/>
      <c r="AA63" s="183"/>
      <c r="AB63" s="183"/>
      <c r="AC63" s="183"/>
      <c r="AD63" s="183"/>
      <c r="AE63" s="183"/>
      <c r="AF63" s="183"/>
      <c r="AG63" s="183"/>
      <c r="AH63" s="183"/>
      <c r="AI63" s="183"/>
      <c r="AJ63" s="183"/>
      <c r="AK63" s="183"/>
      <c r="AL63" s="183"/>
      <c r="AM63" s="183"/>
      <c r="AN63" s="183"/>
      <c r="AO63" s="183"/>
      <c r="AP63" s="183"/>
      <c r="AQ63" s="183"/>
      <c r="AR63" s="183"/>
      <c r="AS63" s="183"/>
      <c r="AT63" s="183"/>
      <c r="AU63" s="183"/>
      <c r="AV63" s="183"/>
      <c r="AW63" s="183"/>
      <c r="AX63" s="183"/>
      <c r="AY63" s="183"/>
      <c r="AZ63" s="183"/>
      <c r="BA63" s="183"/>
      <c r="BB63" s="183"/>
      <c r="BC63" s="183"/>
      <c r="BD63" s="183"/>
      <c r="BE63" s="183"/>
      <c r="BF63" s="183"/>
      <c r="BG63" s="183"/>
      <c r="BH63" s="183"/>
      <c r="BI63" s="183"/>
      <c r="BJ63" s="183"/>
      <c r="BK63" s="183"/>
      <c r="BL63" s="183"/>
      <c r="BM63" s="183"/>
      <c r="BN63" s="183"/>
      <c r="BO63" s="183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49"/>
      <c r="DP63" s="33"/>
      <c r="DQ63" s="33"/>
      <c r="DR63" s="20"/>
      <c r="DS63" s="40"/>
      <c r="DT63" s="40"/>
      <c r="DU63" s="40"/>
      <c r="DV63" s="40"/>
      <c r="DW63" s="40"/>
      <c r="DX63" s="40"/>
      <c r="DY63" s="40"/>
    </row>
    <row r="64" spans="1:129" ht="9.9" customHeight="1" x14ac:dyDescent="0.25">
      <c r="A64" s="20"/>
      <c r="B64" s="134" t="s">
        <v>88</v>
      </c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  <c r="AA64" s="134"/>
      <c r="AB64" s="134"/>
      <c r="AC64" s="134"/>
      <c r="AD64" s="134"/>
      <c r="AE64" s="134"/>
      <c r="AF64" s="134"/>
      <c r="AG64" s="134"/>
      <c r="AH64" s="134"/>
      <c r="AI64" s="134"/>
      <c r="AJ64" s="134"/>
      <c r="AK64" s="134"/>
      <c r="AL64" s="134"/>
      <c r="AM64" s="134"/>
      <c r="AN64" s="134"/>
      <c r="AO64" s="134"/>
      <c r="AP64" s="134"/>
      <c r="AQ64" s="134"/>
      <c r="AR64" s="134"/>
      <c r="AS64" s="134"/>
      <c r="AT64" s="134"/>
      <c r="AU64" s="134"/>
      <c r="AV64" s="134"/>
      <c r="AW64" s="134"/>
      <c r="AX64" s="134"/>
      <c r="AY64" s="134"/>
      <c r="AZ64" s="134"/>
      <c r="BA64" s="134"/>
      <c r="BB64" s="134"/>
      <c r="BC64" s="134"/>
      <c r="BD64" s="134"/>
      <c r="BE64" s="134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49"/>
      <c r="DP64" s="33"/>
      <c r="DQ64" s="33"/>
      <c r="DR64" s="20"/>
      <c r="DS64" s="40"/>
      <c r="DT64" s="40"/>
      <c r="DU64" s="40"/>
      <c r="DV64" s="40"/>
      <c r="DW64" s="40"/>
      <c r="DX64" s="40"/>
      <c r="DY64" s="40"/>
    </row>
    <row r="65" spans="1:129" ht="9" customHeight="1" x14ac:dyDescent="0.25">
      <c r="A65" s="20"/>
      <c r="B65" s="182" t="s">
        <v>111</v>
      </c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  <c r="W65" s="182"/>
      <c r="X65" s="182"/>
      <c r="Y65" s="182"/>
      <c r="Z65" s="182"/>
      <c r="AA65" s="182"/>
      <c r="AB65" s="182"/>
      <c r="AC65" s="182"/>
      <c r="AD65" s="182"/>
      <c r="AE65" s="182"/>
      <c r="AF65" s="182"/>
      <c r="AG65" s="182"/>
      <c r="AH65" s="182"/>
      <c r="AI65" s="182"/>
      <c r="AJ65" s="182"/>
      <c r="AK65" s="182"/>
      <c r="AL65" s="182"/>
      <c r="AM65" s="182"/>
      <c r="AN65" s="182"/>
      <c r="AO65" s="182"/>
      <c r="AP65" s="182"/>
      <c r="AQ65" s="182"/>
      <c r="AR65" s="182"/>
      <c r="AS65" s="182"/>
      <c r="AT65" s="182"/>
      <c r="AU65" s="182"/>
      <c r="AV65" s="182"/>
      <c r="AW65" s="182"/>
      <c r="AX65" s="182"/>
      <c r="AY65" s="182"/>
      <c r="AZ65" s="182"/>
      <c r="BA65" s="182"/>
      <c r="BB65" s="182"/>
      <c r="BC65" s="182"/>
      <c r="BD65" s="182"/>
      <c r="BE65" s="182"/>
      <c r="BF65" s="182"/>
      <c r="BG65" s="182"/>
      <c r="BH65" s="182"/>
      <c r="BI65" s="182"/>
      <c r="BJ65" s="182"/>
      <c r="BK65" s="182"/>
      <c r="BL65" s="182"/>
      <c r="BM65" s="182"/>
      <c r="BN65" s="182"/>
      <c r="BO65" s="182"/>
      <c r="BP65" s="157" t="s">
        <v>113</v>
      </c>
      <c r="BQ65" s="157"/>
      <c r="BR65" s="157"/>
      <c r="BS65" s="157"/>
      <c r="BT65" s="157"/>
      <c r="BU65" s="157"/>
      <c r="BV65" s="157"/>
      <c r="BW65" s="157"/>
      <c r="BX65" s="56"/>
      <c r="BY65" s="56"/>
      <c r="BZ65" s="56"/>
      <c r="CA65" s="56"/>
      <c r="CB65" s="147" t="s">
        <v>44</v>
      </c>
      <c r="CC65" s="148"/>
      <c r="CD65" s="149"/>
      <c r="CE65" s="147" t="s">
        <v>43</v>
      </c>
      <c r="CF65" s="148"/>
      <c r="CG65" s="149"/>
      <c r="CH65" s="147" t="s">
        <v>55</v>
      </c>
      <c r="CI65" s="148"/>
      <c r="CJ65" s="149"/>
      <c r="CK65" s="147" t="s">
        <v>44</v>
      </c>
      <c r="CL65" s="148"/>
      <c r="CM65" s="149"/>
      <c r="CN65" s="147" t="s">
        <v>164</v>
      </c>
      <c r="CO65" s="148"/>
      <c r="CP65" s="149"/>
      <c r="CQ65" s="147" t="s">
        <v>169</v>
      </c>
      <c r="CR65" s="148"/>
      <c r="CS65" s="149"/>
      <c r="CT65" s="147" t="s">
        <v>169</v>
      </c>
      <c r="CU65" s="148"/>
      <c r="CV65" s="149"/>
      <c r="CW65" s="147" t="s">
        <v>169</v>
      </c>
      <c r="CX65" s="148"/>
      <c r="CY65" s="149"/>
      <c r="CZ65" s="147" t="s">
        <v>169</v>
      </c>
      <c r="DA65" s="148"/>
      <c r="DB65" s="149"/>
      <c r="DC65" s="147" t="s">
        <v>169</v>
      </c>
      <c r="DD65" s="148"/>
      <c r="DE65" s="149"/>
      <c r="DF65" s="147" t="s">
        <v>169</v>
      </c>
      <c r="DG65" s="148"/>
      <c r="DH65" s="149"/>
      <c r="DI65" s="147" t="s">
        <v>169</v>
      </c>
      <c r="DJ65" s="148"/>
      <c r="DK65" s="149"/>
      <c r="DL65" s="5"/>
      <c r="DM65" s="5"/>
      <c r="DN65" s="5"/>
      <c r="DO65" s="49"/>
      <c r="DP65" s="33"/>
      <c r="DQ65" s="33"/>
      <c r="DR65" s="20"/>
      <c r="DS65" s="40"/>
      <c r="DT65" s="40"/>
      <c r="DU65" s="40"/>
      <c r="DV65" s="40"/>
      <c r="DW65" s="40"/>
      <c r="DX65" s="40"/>
      <c r="DY65" s="40"/>
    </row>
    <row r="66" spans="1:129" ht="9" customHeight="1" x14ac:dyDescent="0.25">
      <c r="A66" s="20"/>
      <c r="B66" s="182" t="s">
        <v>112</v>
      </c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  <c r="W66" s="182"/>
      <c r="X66" s="182"/>
      <c r="Y66" s="182"/>
      <c r="Z66" s="182"/>
      <c r="AA66" s="182"/>
      <c r="AB66" s="182"/>
      <c r="AC66" s="182"/>
      <c r="AD66" s="182"/>
      <c r="AE66" s="182"/>
      <c r="AF66" s="182"/>
      <c r="AG66" s="182"/>
      <c r="AH66" s="182"/>
      <c r="AI66" s="182"/>
      <c r="AJ66" s="182"/>
      <c r="AK66" s="182"/>
      <c r="AL66" s="182"/>
      <c r="AM66" s="182"/>
      <c r="AN66" s="182"/>
      <c r="AO66" s="182"/>
      <c r="AP66" s="182"/>
      <c r="AQ66" s="182"/>
      <c r="AR66" s="182"/>
      <c r="AS66" s="182"/>
      <c r="AT66" s="182"/>
      <c r="AU66" s="182"/>
      <c r="AV66" s="182"/>
      <c r="AW66" s="182"/>
      <c r="AX66" s="182"/>
      <c r="AY66" s="182"/>
      <c r="AZ66" s="182"/>
      <c r="BA66" s="182"/>
      <c r="BB66" s="182"/>
      <c r="BC66" s="182"/>
      <c r="BD66" s="182"/>
      <c r="BE66" s="182"/>
      <c r="BF66" s="182"/>
      <c r="BG66" s="182"/>
      <c r="BH66" s="182"/>
      <c r="BI66" s="182"/>
      <c r="BJ66" s="182"/>
      <c r="BK66" s="182"/>
      <c r="BL66" s="182"/>
      <c r="BM66" s="182"/>
      <c r="BN66" s="182"/>
      <c r="BO66" s="182"/>
      <c r="BP66" s="157"/>
      <c r="BQ66" s="157"/>
      <c r="BR66" s="157"/>
      <c r="BS66" s="157"/>
      <c r="BT66" s="157"/>
      <c r="BU66" s="157"/>
      <c r="BV66" s="157"/>
      <c r="BW66" s="157"/>
      <c r="BX66" s="56"/>
      <c r="BY66" s="56"/>
      <c r="BZ66" s="56"/>
      <c r="CA66" s="56"/>
      <c r="CB66" s="150"/>
      <c r="CC66" s="151"/>
      <c r="CD66" s="152"/>
      <c r="CE66" s="150"/>
      <c r="CF66" s="151"/>
      <c r="CG66" s="152"/>
      <c r="CH66" s="150"/>
      <c r="CI66" s="151"/>
      <c r="CJ66" s="152"/>
      <c r="CK66" s="150"/>
      <c r="CL66" s="151"/>
      <c r="CM66" s="152"/>
      <c r="CN66" s="150"/>
      <c r="CO66" s="151"/>
      <c r="CP66" s="152"/>
      <c r="CQ66" s="150"/>
      <c r="CR66" s="151"/>
      <c r="CS66" s="152"/>
      <c r="CT66" s="150"/>
      <c r="CU66" s="151"/>
      <c r="CV66" s="152"/>
      <c r="CW66" s="150"/>
      <c r="CX66" s="151"/>
      <c r="CY66" s="152"/>
      <c r="CZ66" s="150"/>
      <c r="DA66" s="151"/>
      <c r="DB66" s="152"/>
      <c r="DC66" s="150"/>
      <c r="DD66" s="151"/>
      <c r="DE66" s="152"/>
      <c r="DF66" s="150"/>
      <c r="DG66" s="151"/>
      <c r="DH66" s="152"/>
      <c r="DI66" s="150"/>
      <c r="DJ66" s="151"/>
      <c r="DK66" s="152"/>
      <c r="DL66" s="5"/>
      <c r="DM66" s="5"/>
      <c r="DN66" s="5"/>
      <c r="DO66" s="49"/>
      <c r="DP66" s="33"/>
      <c r="DQ66" s="33"/>
      <c r="DR66" s="20"/>
      <c r="DS66" s="40"/>
      <c r="DT66" s="40"/>
      <c r="DU66" s="40"/>
      <c r="DV66" s="40"/>
      <c r="DW66" s="40"/>
      <c r="DX66" s="40"/>
      <c r="DY66" s="40"/>
    </row>
    <row r="67" spans="1:129" ht="15" customHeight="1" x14ac:dyDescent="0.25">
      <c r="A67" s="20"/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6"/>
      <c r="P67" s="186"/>
      <c r="Q67" s="186"/>
      <c r="R67" s="186"/>
      <c r="S67" s="186"/>
      <c r="T67" s="186"/>
      <c r="U67" s="186"/>
      <c r="V67" s="186"/>
      <c r="W67" s="186"/>
      <c r="X67" s="186"/>
      <c r="Y67" s="186"/>
      <c r="Z67" s="186"/>
      <c r="AA67" s="186"/>
      <c r="AB67" s="186"/>
      <c r="AC67" s="186"/>
      <c r="AD67" s="186"/>
      <c r="AE67" s="186"/>
      <c r="AF67" s="186"/>
      <c r="AG67" s="186"/>
      <c r="AH67" s="186"/>
      <c r="AI67" s="186"/>
      <c r="AJ67" s="186"/>
      <c r="AK67" s="186"/>
      <c r="AL67" s="186"/>
      <c r="AM67" s="186"/>
      <c r="AN67" s="186"/>
      <c r="AO67" s="186"/>
      <c r="AP67" s="186"/>
      <c r="AQ67" s="186"/>
      <c r="AR67" s="186"/>
      <c r="AS67" s="186"/>
      <c r="AT67" s="186"/>
      <c r="AU67" s="186"/>
      <c r="AV67" s="186"/>
      <c r="AW67" s="186"/>
      <c r="AX67" s="186"/>
      <c r="AY67" s="186"/>
      <c r="AZ67" s="186"/>
      <c r="BA67" s="186"/>
      <c r="BB67" s="186"/>
      <c r="BC67" s="186"/>
      <c r="BD67" s="186"/>
      <c r="BE67" s="186"/>
      <c r="BF67" s="186"/>
      <c r="BG67" s="186"/>
      <c r="BH67" s="186"/>
      <c r="BI67" s="186"/>
      <c r="BJ67" s="186"/>
      <c r="BK67" s="186"/>
      <c r="BL67" s="186"/>
      <c r="BM67" s="186"/>
      <c r="BN67" s="186"/>
      <c r="BO67" s="186"/>
      <c r="BP67" s="55"/>
      <c r="BQ67" s="55"/>
      <c r="BR67" s="55"/>
      <c r="BS67" s="55"/>
      <c r="BT67" s="55"/>
      <c r="BU67" s="55"/>
      <c r="BV67" s="55"/>
      <c r="BW67" s="55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"/>
      <c r="DM67" s="5"/>
      <c r="DN67" s="5"/>
      <c r="DO67" s="49"/>
      <c r="DP67" s="33"/>
      <c r="DQ67" s="33"/>
      <c r="DR67" s="20"/>
      <c r="DS67" s="40"/>
      <c r="DT67" s="40"/>
      <c r="DU67" s="40"/>
      <c r="DV67" s="40"/>
      <c r="DW67" s="40"/>
      <c r="DX67" s="40"/>
      <c r="DY67" s="40"/>
    </row>
    <row r="68" spans="1:129" ht="9.9" customHeight="1" x14ac:dyDescent="0.25">
      <c r="A68" s="20"/>
      <c r="B68" s="134" t="s">
        <v>89</v>
      </c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  <c r="AA68" s="134"/>
      <c r="AB68" s="134"/>
      <c r="AC68" s="134"/>
      <c r="AD68" s="134"/>
      <c r="AE68" s="134"/>
      <c r="AF68" s="134"/>
      <c r="AG68" s="134"/>
      <c r="AH68" s="134"/>
      <c r="AI68" s="134"/>
      <c r="AJ68" s="134"/>
      <c r="AK68" s="134"/>
      <c r="AL68" s="134"/>
      <c r="AM68" s="134"/>
      <c r="AN68" s="134"/>
      <c r="AO68" s="134"/>
      <c r="AP68" s="134"/>
      <c r="AQ68" s="134"/>
      <c r="AR68" s="134"/>
      <c r="AS68" s="134"/>
      <c r="AT68" s="134"/>
      <c r="AU68" s="134"/>
      <c r="AV68" s="134"/>
      <c r="AW68" s="134"/>
      <c r="AX68" s="134"/>
      <c r="AY68" s="134"/>
      <c r="AZ68" s="134"/>
      <c r="BA68" s="134"/>
      <c r="BB68" s="134"/>
      <c r="BC68" s="134"/>
      <c r="BD68" s="134"/>
      <c r="BE68" s="134"/>
      <c r="BF68" s="134"/>
      <c r="BG68" s="134"/>
      <c r="BH68" s="134"/>
      <c r="BI68" s="134"/>
      <c r="BJ68" s="134"/>
      <c r="BK68" s="134"/>
      <c r="BL68" s="134"/>
      <c r="BM68" s="134"/>
      <c r="BN68" s="134"/>
      <c r="BO68" s="134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49"/>
      <c r="DP68" s="33"/>
      <c r="DQ68" s="33"/>
      <c r="DR68" s="20"/>
      <c r="DS68" s="40"/>
      <c r="DT68" s="40"/>
      <c r="DU68" s="40"/>
      <c r="DV68" s="40"/>
      <c r="DW68" s="40"/>
      <c r="DX68" s="40"/>
      <c r="DY68" s="40"/>
    </row>
    <row r="69" spans="1:129" ht="9" customHeight="1" x14ac:dyDescent="0.25">
      <c r="A69" s="20"/>
      <c r="B69" s="182" t="s">
        <v>114</v>
      </c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  <c r="W69" s="182"/>
      <c r="X69" s="182"/>
      <c r="Y69" s="182"/>
      <c r="Z69" s="182"/>
      <c r="AA69" s="182"/>
      <c r="AB69" s="182"/>
      <c r="AC69" s="182"/>
      <c r="AD69" s="182"/>
      <c r="AE69" s="182"/>
      <c r="AF69" s="182"/>
      <c r="AG69" s="182"/>
      <c r="AH69" s="182"/>
      <c r="AI69" s="182"/>
      <c r="AJ69" s="182"/>
      <c r="AK69" s="182"/>
      <c r="AL69" s="182"/>
      <c r="AM69" s="182"/>
      <c r="AN69" s="182"/>
      <c r="AO69" s="182"/>
      <c r="AP69" s="182"/>
      <c r="AQ69" s="182"/>
      <c r="AR69" s="182"/>
      <c r="AS69" s="182"/>
      <c r="AT69" s="182"/>
      <c r="AU69" s="182"/>
      <c r="AV69" s="182"/>
      <c r="AW69" s="182"/>
      <c r="AX69" s="182"/>
      <c r="AY69" s="182"/>
      <c r="AZ69" s="182"/>
      <c r="BA69" s="182"/>
      <c r="BB69" s="182"/>
      <c r="BC69" s="182"/>
      <c r="BD69" s="182"/>
      <c r="BE69" s="182"/>
      <c r="BF69" s="182"/>
      <c r="BG69" s="182"/>
      <c r="BH69" s="182"/>
      <c r="BI69" s="182"/>
      <c r="BJ69" s="182"/>
      <c r="BK69" s="182"/>
      <c r="BL69" s="182"/>
      <c r="BM69" s="182"/>
      <c r="BN69" s="182"/>
      <c r="BO69" s="182"/>
      <c r="BP69" s="157" t="s">
        <v>116</v>
      </c>
      <c r="BQ69" s="157"/>
      <c r="BR69" s="157"/>
      <c r="BS69" s="157"/>
      <c r="BT69" s="157"/>
      <c r="BU69" s="157"/>
      <c r="BV69" s="157"/>
      <c r="BW69" s="157"/>
      <c r="BX69" s="56"/>
      <c r="BY69" s="56"/>
      <c r="BZ69" s="56"/>
      <c r="CA69" s="56"/>
      <c r="CB69" s="147" t="s">
        <v>55</v>
      </c>
      <c r="CC69" s="148"/>
      <c r="CD69" s="149"/>
      <c r="CE69" s="147" t="s">
        <v>43</v>
      </c>
      <c r="CF69" s="148"/>
      <c r="CG69" s="149"/>
      <c r="CH69" s="147" t="s">
        <v>54</v>
      </c>
      <c r="CI69" s="148"/>
      <c r="CJ69" s="149"/>
      <c r="CK69" s="147" t="s">
        <v>53</v>
      </c>
      <c r="CL69" s="148"/>
      <c r="CM69" s="149"/>
      <c r="CN69" s="147" t="s">
        <v>153</v>
      </c>
      <c r="CO69" s="148"/>
      <c r="CP69" s="149"/>
      <c r="CQ69" s="147" t="s">
        <v>169</v>
      </c>
      <c r="CR69" s="148"/>
      <c r="CS69" s="149"/>
      <c r="CT69" s="147" t="s">
        <v>169</v>
      </c>
      <c r="CU69" s="148"/>
      <c r="CV69" s="149"/>
      <c r="CW69" s="147" t="s">
        <v>169</v>
      </c>
      <c r="CX69" s="148"/>
      <c r="CY69" s="149"/>
      <c r="CZ69" s="147" t="s">
        <v>169</v>
      </c>
      <c r="DA69" s="148"/>
      <c r="DB69" s="149"/>
      <c r="DC69" s="147" t="s">
        <v>169</v>
      </c>
      <c r="DD69" s="148"/>
      <c r="DE69" s="149"/>
      <c r="DF69" s="147" t="s">
        <v>169</v>
      </c>
      <c r="DG69" s="148"/>
      <c r="DH69" s="149"/>
      <c r="DI69" s="147" t="s">
        <v>169</v>
      </c>
      <c r="DJ69" s="148"/>
      <c r="DK69" s="149"/>
      <c r="DL69" s="5"/>
      <c r="DM69" s="5"/>
      <c r="DN69" s="5"/>
      <c r="DO69" s="49"/>
      <c r="DP69" s="33"/>
      <c r="DQ69" s="33"/>
      <c r="DR69" s="20"/>
      <c r="DS69" s="40"/>
      <c r="DT69" s="40"/>
      <c r="DU69" s="40"/>
      <c r="DV69" s="40"/>
      <c r="DW69" s="40"/>
      <c r="DX69" s="40"/>
      <c r="DY69" s="40"/>
    </row>
    <row r="70" spans="1:129" ht="9" customHeight="1" x14ac:dyDescent="0.25">
      <c r="A70" s="20"/>
      <c r="B70" s="182" t="s">
        <v>115</v>
      </c>
      <c r="C70" s="182"/>
      <c r="D70" s="182"/>
      <c r="E70" s="182"/>
      <c r="F70" s="182"/>
      <c r="G70" s="182"/>
      <c r="H70" s="182"/>
      <c r="I70" s="182"/>
      <c r="J70" s="182"/>
      <c r="K70" s="182"/>
      <c r="L70" s="182"/>
      <c r="M70" s="182"/>
      <c r="N70" s="182"/>
      <c r="O70" s="182"/>
      <c r="P70" s="182"/>
      <c r="Q70" s="182"/>
      <c r="R70" s="182"/>
      <c r="S70" s="182"/>
      <c r="T70" s="182"/>
      <c r="U70" s="182"/>
      <c r="V70" s="182"/>
      <c r="W70" s="182"/>
      <c r="X70" s="182"/>
      <c r="Y70" s="182"/>
      <c r="Z70" s="182"/>
      <c r="AA70" s="182"/>
      <c r="AB70" s="182"/>
      <c r="AC70" s="182"/>
      <c r="AD70" s="182"/>
      <c r="AE70" s="182"/>
      <c r="AF70" s="182"/>
      <c r="AG70" s="182"/>
      <c r="AH70" s="182"/>
      <c r="AI70" s="182"/>
      <c r="AJ70" s="182"/>
      <c r="AK70" s="182"/>
      <c r="AL70" s="182"/>
      <c r="AM70" s="182"/>
      <c r="AN70" s="182"/>
      <c r="AO70" s="182"/>
      <c r="AP70" s="182"/>
      <c r="AQ70" s="182"/>
      <c r="AR70" s="182"/>
      <c r="AS70" s="182"/>
      <c r="AT70" s="182"/>
      <c r="AU70" s="182"/>
      <c r="AV70" s="182"/>
      <c r="AW70" s="182"/>
      <c r="AX70" s="182"/>
      <c r="AY70" s="182"/>
      <c r="AZ70" s="182"/>
      <c r="BA70" s="182"/>
      <c r="BB70" s="182"/>
      <c r="BC70" s="182"/>
      <c r="BD70" s="182"/>
      <c r="BE70" s="182"/>
      <c r="BF70" s="182"/>
      <c r="BG70" s="182"/>
      <c r="BH70" s="182"/>
      <c r="BI70" s="182"/>
      <c r="BJ70" s="182"/>
      <c r="BK70" s="182"/>
      <c r="BL70" s="182"/>
      <c r="BM70" s="182"/>
      <c r="BN70" s="182"/>
      <c r="BO70" s="182"/>
      <c r="BP70" s="157"/>
      <c r="BQ70" s="157"/>
      <c r="BR70" s="157"/>
      <c r="BS70" s="157"/>
      <c r="BT70" s="157"/>
      <c r="BU70" s="157"/>
      <c r="BV70" s="157"/>
      <c r="BW70" s="157"/>
      <c r="BX70" s="56"/>
      <c r="BY70" s="56"/>
      <c r="BZ70" s="56"/>
      <c r="CA70" s="56"/>
      <c r="CB70" s="150"/>
      <c r="CC70" s="151"/>
      <c r="CD70" s="152"/>
      <c r="CE70" s="150"/>
      <c r="CF70" s="151"/>
      <c r="CG70" s="152"/>
      <c r="CH70" s="150"/>
      <c r="CI70" s="151"/>
      <c r="CJ70" s="152"/>
      <c r="CK70" s="150"/>
      <c r="CL70" s="151"/>
      <c r="CM70" s="152"/>
      <c r="CN70" s="150"/>
      <c r="CO70" s="151"/>
      <c r="CP70" s="152"/>
      <c r="CQ70" s="150"/>
      <c r="CR70" s="151"/>
      <c r="CS70" s="152"/>
      <c r="CT70" s="150"/>
      <c r="CU70" s="151"/>
      <c r="CV70" s="152"/>
      <c r="CW70" s="150"/>
      <c r="CX70" s="151"/>
      <c r="CY70" s="152"/>
      <c r="CZ70" s="150"/>
      <c r="DA70" s="151"/>
      <c r="DB70" s="152"/>
      <c r="DC70" s="150"/>
      <c r="DD70" s="151"/>
      <c r="DE70" s="152"/>
      <c r="DF70" s="150"/>
      <c r="DG70" s="151"/>
      <c r="DH70" s="152"/>
      <c r="DI70" s="150"/>
      <c r="DJ70" s="151"/>
      <c r="DK70" s="152"/>
      <c r="DL70" s="5"/>
      <c r="DM70" s="5"/>
      <c r="DN70" s="5"/>
      <c r="DO70" s="49"/>
      <c r="DP70" s="33"/>
      <c r="DQ70" s="33"/>
      <c r="DR70" s="20"/>
      <c r="DS70" s="40"/>
      <c r="DT70" s="40"/>
      <c r="DU70" s="40"/>
      <c r="DV70" s="40"/>
      <c r="DW70" s="40"/>
      <c r="DX70" s="40"/>
      <c r="DY70" s="40"/>
    </row>
    <row r="71" spans="1:129" ht="15" customHeight="1" x14ac:dyDescent="0.25">
      <c r="A71" s="20"/>
      <c r="B71" s="183"/>
      <c r="C71" s="183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183"/>
      <c r="AA71" s="183"/>
      <c r="AB71" s="183"/>
      <c r="AC71" s="183"/>
      <c r="AD71" s="183"/>
      <c r="AE71" s="183"/>
      <c r="AF71" s="183"/>
      <c r="AG71" s="183"/>
      <c r="AH71" s="183"/>
      <c r="AI71" s="183"/>
      <c r="AJ71" s="183"/>
      <c r="AK71" s="183"/>
      <c r="AL71" s="183"/>
      <c r="AM71" s="183"/>
      <c r="AN71" s="183"/>
      <c r="AO71" s="183"/>
      <c r="AP71" s="183"/>
      <c r="AQ71" s="183"/>
      <c r="AR71" s="183"/>
      <c r="AS71" s="183"/>
      <c r="AT71" s="183"/>
      <c r="AU71" s="183"/>
      <c r="AV71" s="183"/>
      <c r="AW71" s="183"/>
      <c r="AX71" s="183"/>
      <c r="AY71" s="183"/>
      <c r="AZ71" s="183"/>
      <c r="BA71" s="183"/>
      <c r="BB71" s="183"/>
      <c r="BC71" s="183"/>
      <c r="BD71" s="183"/>
      <c r="BE71" s="183"/>
      <c r="BF71" s="183"/>
      <c r="BG71" s="183"/>
      <c r="BH71" s="183"/>
      <c r="BI71" s="183"/>
      <c r="BJ71" s="183"/>
      <c r="BK71" s="183"/>
      <c r="BL71" s="183"/>
      <c r="BM71" s="183"/>
      <c r="BN71" s="183"/>
      <c r="BO71" s="183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49"/>
      <c r="DP71" s="33"/>
      <c r="DQ71" s="33"/>
      <c r="DR71" s="20"/>
      <c r="DS71" s="40"/>
      <c r="DT71" s="40"/>
      <c r="DU71" s="40"/>
      <c r="DV71" s="40"/>
      <c r="DW71" s="40"/>
      <c r="DX71" s="40"/>
      <c r="DY71" s="40"/>
    </row>
    <row r="72" spans="1:129" ht="9.9" customHeight="1" x14ac:dyDescent="0.25">
      <c r="A72" s="20"/>
      <c r="B72" s="134" t="s">
        <v>91</v>
      </c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  <c r="AA72" s="134"/>
      <c r="AB72" s="134"/>
      <c r="AC72" s="134"/>
      <c r="AD72" s="134"/>
      <c r="AE72" s="134"/>
      <c r="AF72" s="134"/>
      <c r="AG72" s="134"/>
      <c r="AH72" s="134"/>
      <c r="AI72" s="134"/>
      <c r="AJ72" s="134"/>
      <c r="AK72" s="134"/>
      <c r="AL72" s="134"/>
      <c r="AM72" s="134"/>
      <c r="AN72" s="134"/>
      <c r="AO72" s="134"/>
      <c r="AP72" s="134"/>
      <c r="AQ72" s="134"/>
      <c r="AR72" s="134"/>
      <c r="AS72" s="134"/>
      <c r="AT72" s="134"/>
      <c r="AU72" s="134"/>
      <c r="AV72" s="134"/>
      <c r="AW72" s="134"/>
      <c r="AX72" s="134"/>
      <c r="AY72" s="134"/>
      <c r="AZ72" s="134"/>
      <c r="BA72" s="134"/>
      <c r="BB72" s="134"/>
      <c r="BC72" s="134"/>
      <c r="BD72" s="134"/>
      <c r="BE72" s="134"/>
      <c r="BF72" s="134"/>
      <c r="BG72" s="134"/>
      <c r="BH72" s="134"/>
      <c r="BI72" s="134"/>
      <c r="BJ72" s="134"/>
      <c r="BK72" s="134"/>
      <c r="BL72" s="134"/>
      <c r="BM72" s="134"/>
      <c r="BN72" s="134"/>
      <c r="BO72" s="134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6"/>
      <c r="DN72" s="6"/>
      <c r="DO72" s="33"/>
      <c r="DP72" s="33"/>
      <c r="DQ72" s="33"/>
      <c r="DR72" s="20"/>
      <c r="DS72" s="40"/>
      <c r="DT72" s="40"/>
      <c r="DU72" s="40"/>
      <c r="DV72" s="40"/>
      <c r="DW72" s="40"/>
      <c r="DX72" s="40"/>
      <c r="DY72" s="40"/>
    </row>
    <row r="73" spans="1:129" ht="9" customHeight="1" x14ac:dyDescent="0.25">
      <c r="A73" s="20"/>
      <c r="B73" s="182" t="s">
        <v>118</v>
      </c>
      <c r="C73" s="182"/>
      <c r="D73" s="182"/>
      <c r="E73" s="182"/>
      <c r="F73" s="182"/>
      <c r="G73" s="182"/>
      <c r="H73" s="182"/>
      <c r="I73" s="182"/>
      <c r="J73" s="182"/>
      <c r="K73" s="182"/>
      <c r="L73" s="182"/>
      <c r="M73" s="182"/>
      <c r="N73" s="182"/>
      <c r="O73" s="182"/>
      <c r="P73" s="182"/>
      <c r="Q73" s="182"/>
      <c r="R73" s="182"/>
      <c r="S73" s="182"/>
      <c r="T73" s="182"/>
      <c r="U73" s="182"/>
      <c r="V73" s="182"/>
      <c r="W73" s="182"/>
      <c r="X73" s="182"/>
      <c r="Y73" s="182"/>
      <c r="Z73" s="182"/>
      <c r="AA73" s="182"/>
      <c r="AB73" s="182"/>
      <c r="AC73" s="182"/>
      <c r="AD73" s="182"/>
      <c r="AE73" s="182"/>
      <c r="AF73" s="182"/>
      <c r="AG73" s="182"/>
      <c r="AH73" s="182"/>
      <c r="AI73" s="182"/>
      <c r="AJ73" s="182"/>
      <c r="AK73" s="182"/>
      <c r="AL73" s="182"/>
      <c r="AM73" s="182"/>
      <c r="AN73" s="182"/>
      <c r="AO73" s="182"/>
      <c r="AP73" s="182"/>
      <c r="AQ73" s="182"/>
      <c r="AR73" s="182"/>
      <c r="AS73" s="182"/>
      <c r="AT73" s="182"/>
      <c r="AU73" s="182"/>
      <c r="AV73" s="182"/>
      <c r="AW73" s="182"/>
      <c r="AX73" s="182"/>
      <c r="AY73" s="182"/>
      <c r="AZ73" s="182"/>
      <c r="BA73" s="182"/>
      <c r="BB73" s="182"/>
      <c r="BC73" s="182"/>
      <c r="BD73" s="182"/>
      <c r="BE73" s="182"/>
      <c r="BF73" s="182"/>
      <c r="BG73" s="182"/>
      <c r="BH73" s="182"/>
      <c r="BI73" s="182"/>
      <c r="BJ73" s="182"/>
      <c r="BK73" s="182"/>
      <c r="BL73" s="182"/>
      <c r="BM73" s="182"/>
      <c r="BN73" s="182"/>
      <c r="BO73" s="182"/>
      <c r="BP73" s="157" t="s">
        <v>117</v>
      </c>
      <c r="BQ73" s="157"/>
      <c r="BR73" s="157"/>
      <c r="BS73" s="157"/>
      <c r="BT73" s="157"/>
      <c r="BU73" s="157"/>
      <c r="BV73" s="157"/>
      <c r="BW73" s="157"/>
      <c r="BX73" s="56"/>
      <c r="BY73" s="56"/>
      <c r="BZ73" s="56"/>
      <c r="CA73" s="56"/>
      <c r="CB73" s="147" t="s">
        <v>53</v>
      </c>
      <c r="CC73" s="148"/>
      <c r="CD73" s="149"/>
      <c r="CE73" s="147" t="s">
        <v>43</v>
      </c>
      <c r="CF73" s="148"/>
      <c r="CG73" s="149"/>
      <c r="CH73" s="147" t="s">
        <v>151</v>
      </c>
      <c r="CI73" s="148"/>
      <c r="CJ73" s="149"/>
      <c r="CK73" s="147" t="s">
        <v>154</v>
      </c>
      <c r="CL73" s="148"/>
      <c r="CM73" s="149"/>
      <c r="CN73" s="147" t="s">
        <v>151</v>
      </c>
      <c r="CO73" s="148"/>
      <c r="CP73" s="149"/>
      <c r="CQ73" s="147" t="s">
        <v>169</v>
      </c>
      <c r="CR73" s="148"/>
      <c r="CS73" s="149"/>
      <c r="CT73" s="147" t="s">
        <v>169</v>
      </c>
      <c r="CU73" s="148"/>
      <c r="CV73" s="149"/>
      <c r="CW73" s="147" t="s">
        <v>169</v>
      </c>
      <c r="CX73" s="148"/>
      <c r="CY73" s="149"/>
      <c r="CZ73" s="147" t="s">
        <v>169</v>
      </c>
      <c r="DA73" s="148"/>
      <c r="DB73" s="149"/>
      <c r="DC73" s="147" t="s">
        <v>169</v>
      </c>
      <c r="DD73" s="148"/>
      <c r="DE73" s="149"/>
      <c r="DF73" s="147" t="s">
        <v>169</v>
      </c>
      <c r="DG73" s="148"/>
      <c r="DH73" s="149"/>
      <c r="DI73" s="147" t="s">
        <v>169</v>
      </c>
      <c r="DJ73" s="148"/>
      <c r="DK73" s="149"/>
      <c r="DL73" s="5"/>
      <c r="DM73" s="6"/>
      <c r="DN73" s="6"/>
      <c r="DO73" s="33"/>
      <c r="DP73" s="33"/>
      <c r="DQ73" s="33"/>
      <c r="DR73" s="20"/>
      <c r="DS73" s="40"/>
      <c r="DT73" s="40"/>
      <c r="DU73" s="40"/>
      <c r="DV73" s="40"/>
      <c r="DW73" s="40"/>
      <c r="DX73" s="40"/>
      <c r="DY73" s="40"/>
    </row>
    <row r="74" spans="1:129" ht="9" customHeight="1" x14ac:dyDescent="0.25">
      <c r="A74" s="20"/>
      <c r="B74" s="182" t="s">
        <v>119</v>
      </c>
      <c r="C74" s="182"/>
      <c r="D74" s="182"/>
      <c r="E74" s="182"/>
      <c r="F74" s="182"/>
      <c r="G74" s="182"/>
      <c r="H74" s="182"/>
      <c r="I74" s="182"/>
      <c r="J74" s="182"/>
      <c r="K74" s="182"/>
      <c r="L74" s="182"/>
      <c r="M74" s="182"/>
      <c r="N74" s="182"/>
      <c r="O74" s="182"/>
      <c r="P74" s="182"/>
      <c r="Q74" s="182"/>
      <c r="R74" s="182"/>
      <c r="S74" s="182"/>
      <c r="T74" s="182"/>
      <c r="U74" s="182"/>
      <c r="V74" s="182"/>
      <c r="W74" s="182"/>
      <c r="X74" s="182"/>
      <c r="Y74" s="182"/>
      <c r="Z74" s="182"/>
      <c r="AA74" s="182"/>
      <c r="AB74" s="182"/>
      <c r="AC74" s="182"/>
      <c r="AD74" s="182"/>
      <c r="AE74" s="182"/>
      <c r="AF74" s="182"/>
      <c r="AG74" s="182"/>
      <c r="AH74" s="182"/>
      <c r="AI74" s="182"/>
      <c r="AJ74" s="182"/>
      <c r="AK74" s="182"/>
      <c r="AL74" s="182"/>
      <c r="AM74" s="182"/>
      <c r="AN74" s="182"/>
      <c r="AO74" s="182"/>
      <c r="AP74" s="182"/>
      <c r="AQ74" s="182"/>
      <c r="AR74" s="182"/>
      <c r="AS74" s="182"/>
      <c r="AT74" s="182"/>
      <c r="AU74" s="182"/>
      <c r="AV74" s="182"/>
      <c r="AW74" s="182"/>
      <c r="AX74" s="182"/>
      <c r="AY74" s="182"/>
      <c r="AZ74" s="182"/>
      <c r="BA74" s="182"/>
      <c r="BB74" s="182"/>
      <c r="BC74" s="182"/>
      <c r="BD74" s="182"/>
      <c r="BE74" s="182"/>
      <c r="BF74" s="182"/>
      <c r="BG74" s="182"/>
      <c r="BH74" s="182"/>
      <c r="BI74" s="182"/>
      <c r="BJ74" s="182"/>
      <c r="BK74" s="182"/>
      <c r="BL74" s="182"/>
      <c r="BM74" s="182"/>
      <c r="BN74" s="182"/>
      <c r="BO74" s="182"/>
      <c r="BP74" s="157"/>
      <c r="BQ74" s="157"/>
      <c r="BR74" s="157"/>
      <c r="BS74" s="157"/>
      <c r="BT74" s="157"/>
      <c r="BU74" s="157"/>
      <c r="BV74" s="157"/>
      <c r="BW74" s="157"/>
      <c r="BX74" s="56"/>
      <c r="BY74" s="56"/>
      <c r="BZ74" s="56"/>
      <c r="CA74" s="56"/>
      <c r="CB74" s="150"/>
      <c r="CC74" s="151"/>
      <c r="CD74" s="152"/>
      <c r="CE74" s="150"/>
      <c r="CF74" s="151"/>
      <c r="CG74" s="152"/>
      <c r="CH74" s="150"/>
      <c r="CI74" s="151"/>
      <c r="CJ74" s="152"/>
      <c r="CK74" s="150"/>
      <c r="CL74" s="151"/>
      <c r="CM74" s="152"/>
      <c r="CN74" s="150"/>
      <c r="CO74" s="151"/>
      <c r="CP74" s="152"/>
      <c r="CQ74" s="150"/>
      <c r="CR74" s="151"/>
      <c r="CS74" s="152"/>
      <c r="CT74" s="150"/>
      <c r="CU74" s="151"/>
      <c r="CV74" s="152"/>
      <c r="CW74" s="150"/>
      <c r="CX74" s="151"/>
      <c r="CY74" s="152"/>
      <c r="CZ74" s="150"/>
      <c r="DA74" s="151"/>
      <c r="DB74" s="152"/>
      <c r="DC74" s="150"/>
      <c r="DD74" s="151"/>
      <c r="DE74" s="152"/>
      <c r="DF74" s="150"/>
      <c r="DG74" s="151"/>
      <c r="DH74" s="152"/>
      <c r="DI74" s="150"/>
      <c r="DJ74" s="151"/>
      <c r="DK74" s="152"/>
      <c r="DL74" s="5"/>
      <c r="DM74" s="6"/>
      <c r="DN74" s="6"/>
      <c r="DO74" s="33"/>
      <c r="DP74" s="33"/>
      <c r="DQ74" s="33"/>
      <c r="DR74" s="20"/>
      <c r="DS74" s="40"/>
      <c r="DT74" s="40"/>
      <c r="DU74" s="40"/>
      <c r="DV74" s="40"/>
      <c r="DW74" s="40"/>
      <c r="DX74" s="40"/>
      <c r="DY74" s="40"/>
    </row>
    <row r="75" spans="1:129" ht="12" customHeight="1" x14ac:dyDescent="0.25">
      <c r="A75" s="20"/>
      <c r="B75" s="183"/>
      <c r="C75" s="183"/>
      <c r="D75" s="183"/>
      <c r="E75" s="183"/>
      <c r="F75" s="183"/>
      <c r="G75" s="183"/>
      <c r="H75" s="183"/>
      <c r="I75" s="183"/>
      <c r="J75" s="183"/>
      <c r="K75" s="183"/>
      <c r="L75" s="183"/>
      <c r="M75" s="183"/>
      <c r="N75" s="183"/>
      <c r="O75" s="183"/>
      <c r="P75" s="183"/>
      <c r="Q75" s="183"/>
      <c r="R75" s="183"/>
      <c r="S75" s="183"/>
      <c r="T75" s="183"/>
      <c r="U75" s="183"/>
      <c r="V75" s="183"/>
      <c r="W75" s="183"/>
      <c r="X75" s="183"/>
      <c r="Y75" s="183"/>
      <c r="Z75" s="183"/>
      <c r="AA75" s="183"/>
      <c r="AB75" s="183"/>
      <c r="AC75" s="183"/>
      <c r="AD75" s="183"/>
      <c r="AE75" s="183"/>
      <c r="AF75" s="183"/>
      <c r="AG75" s="183"/>
      <c r="AH75" s="183"/>
      <c r="AI75" s="183"/>
      <c r="AJ75" s="183"/>
      <c r="AK75" s="183"/>
      <c r="AL75" s="183"/>
      <c r="AM75" s="183"/>
      <c r="AN75" s="183"/>
      <c r="AO75" s="183"/>
      <c r="AP75" s="183"/>
      <c r="AQ75" s="183"/>
      <c r="AR75" s="183"/>
      <c r="AS75" s="183"/>
      <c r="AT75" s="183"/>
      <c r="AU75" s="183"/>
      <c r="AV75" s="183"/>
      <c r="AW75" s="183"/>
      <c r="AX75" s="183"/>
      <c r="AY75" s="183"/>
      <c r="AZ75" s="183"/>
      <c r="BA75" s="183"/>
      <c r="BB75" s="183"/>
      <c r="BC75" s="183"/>
      <c r="BD75" s="183"/>
      <c r="BE75" s="183"/>
      <c r="BF75" s="183"/>
      <c r="BG75" s="183"/>
      <c r="BH75" s="183"/>
      <c r="BI75" s="183"/>
      <c r="BJ75" s="183"/>
      <c r="BK75" s="183"/>
      <c r="BL75" s="183"/>
      <c r="BM75" s="183"/>
      <c r="BN75" s="183"/>
      <c r="BO75" s="183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6"/>
      <c r="DN75" s="6"/>
      <c r="DO75" s="33"/>
      <c r="DP75" s="33"/>
      <c r="DQ75" s="33"/>
      <c r="DR75" s="20"/>
      <c r="DS75" s="40"/>
      <c r="DT75" s="40"/>
      <c r="DU75" s="40"/>
      <c r="DV75" s="40"/>
      <c r="DW75" s="40"/>
      <c r="DX75" s="40"/>
      <c r="DY75" s="40"/>
    </row>
    <row r="76" spans="1:129" ht="12" customHeight="1" x14ac:dyDescent="0.25">
      <c r="A76" s="20"/>
      <c r="B76" s="134" t="s">
        <v>93</v>
      </c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/>
      <c r="AB76" s="134"/>
      <c r="AC76" s="134"/>
      <c r="AD76" s="134"/>
      <c r="AE76" s="134"/>
      <c r="AF76" s="134"/>
      <c r="AG76" s="134"/>
      <c r="AH76" s="134"/>
      <c r="AI76" s="134"/>
      <c r="AJ76" s="134"/>
      <c r="AK76" s="134"/>
      <c r="AL76" s="134"/>
      <c r="AM76" s="134"/>
      <c r="AN76" s="134"/>
      <c r="AO76" s="134"/>
      <c r="AP76" s="134"/>
      <c r="AQ76" s="134"/>
      <c r="AR76" s="134"/>
      <c r="AS76" s="134"/>
      <c r="AT76" s="134"/>
      <c r="AU76" s="134"/>
      <c r="AV76" s="134"/>
      <c r="AW76" s="134"/>
      <c r="AX76" s="134"/>
      <c r="AY76" s="134"/>
      <c r="AZ76" s="134"/>
      <c r="BA76" s="134"/>
      <c r="BB76" s="134"/>
      <c r="BC76" s="134"/>
      <c r="BD76" s="134"/>
      <c r="BE76" s="134"/>
      <c r="BF76" s="134"/>
      <c r="BG76" s="134"/>
      <c r="BH76" s="134"/>
      <c r="BI76" s="134"/>
      <c r="BJ76" s="134"/>
      <c r="BK76" s="134"/>
      <c r="BL76" s="134"/>
      <c r="BM76" s="134"/>
      <c r="BN76" s="134"/>
      <c r="BO76" s="134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6"/>
      <c r="DM76" s="6"/>
      <c r="DN76" s="6"/>
      <c r="DO76" s="33"/>
      <c r="DP76" s="33"/>
      <c r="DQ76" s="33"/>
      <c r="DR76" s="20"/>
      <c r="DS76" s="40"/>
      <c r="DT76" s="40"/>
      <c r="DU76" s="40"/>
      <c r="DV76" s="40"/>
      <c r="DW76" s="40"/>
      <c r="DX76" s="40"/>
      <c r="DY76" s="40"/>
    </row>
    <row r="77" spans="1:129" ht="9" customHeight="1" x14ac:dyDescent="0.25">
      <c r="A77" s="20"/>
      <c r="B77" s="182" t="s">
        <v>120</v>
      </c>
      <c r="C77" s="182"/>
      <c r="D77" s="182"/>
      <c r="E77" s="182"/>
      <c r="F77" s="182"/>
      <c r="G77" s="182"/>
      <c r="H77" s="182"/>
      <c r="I77" s="182"/>
      <c r="J77" s="182"/>
      <c r="K77" s="182"/>
      <c r="L77" s="182"/>
      <c r="M77" s="182"/>
      <c r="N77" s="182"/>
      <c r="O77" s="182"/>
      <c r="P77" s="182"/>
      <c r="Q77" s="182"/>
      <c r="R77" s="182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82"/>
      <c r="AD77" s="182"/>
      <c r="AE77" s="182"/>
      <c r="AF77" s="182"/>
      <c r="AG77" s="182"/>
      <c r="AH77" s="182"/>
      <c r="AI77" s="182"/>
      <c r="AJ77" s="182"/>
      <c r="AK77" s="182"/>
      <c r="AL77" s="182"/>
      <c r="AM77" s="182"/>
      <c r="AN77" s="182"/>
      <c r="AO77" s="182"/>
      <c r="AP77" s="182"/>
      <c r="AQ77" s="182"/>
      <c r="AR77" s="182"/>
      <c r="AS77" s="182"/>
      <c r="AT77" s="182"/>
      <c r="AU77" s="182"/>
      <c r="AV77" s="182"/>
      <c r="AW77" s="182"/>
      <c r="AX77" s="182"/>
      <c r="AY77" s="182"/>
      <c r="AZ77" s="182"/>
      <c r="BA77" s="182"/>
      <c r="BB77" s="182"/>
      <c r="BC77" s="182"/>
      <c r="BD77" s="182"/>
      <c r="BE77" s="182"/>
      <c r="BF77" s="182"/>
      <c r="BG77" s="182"/>
      <c r="BH77" s="182"/>
      <c r="BI77" s="182"/>
      <c r="BJ77" s="182"/>
      <c r="BK77" s="182"/>
      <c r="BL77" s="182"/>
      <c r="BM77" s="182"/>
      <c r="BN77" s="182"/>
      <c r="BO77" s="182"/>
      <c r="BP77" s="157" t="s">
        <v>122</v>
      </c>
      <c r="BQ77" s="157"/>
      <c r="BR77" s="157"/>
      <c r="BS77" s="157"/>
      <c r="BT77" s="157"/>
      <c r="BU77" s="157"/>
      <c r="BV77" s="157"/>
      <c r="BW77" s="157"/>
      <c r="BX77" s="56"/>
      <c r="BY77" s="56"/>
      <c r="BZ77" s="56"/>
      <c r="CA77" s="56"/>
      <c r="CB77" s="147" t="s">
        <v>54</v>
      </c>
      <c r="CC77" s="148"/>
      <c r="CD77" s="149"/>
      <c r="CE77" s="147" t="s">
        <v>43</v>
      </c>
      <c r="CF77" s="148"/>
      <c r="CG77" s="149"/>
      <c r="CH77" s="147" t="s">
        <v>152</v>
      </c>
      <c r="CI77" s="148"/>
      <c r="CJ77" s="149"/>
      <c r="CK77" s="147" t="s">
        <v>153</v>
      </c>
      <c r="CL77" s="148"/>
      <c r="CM77" s="149"/>
      <c r="CN77" s="147" t="s">
        <v>54</v>
      </c>
      <c r="CO77" s="148"/>
      <c r="CP77" s="149"/>
      <c r="CQ77" s="147" t="s">
        <v>169</v>
      </c>
      <c r="CR77" s="148"/>
      <c r="CS77" s="149"/>
      <c r="CT77" s="147" t="s">
        <v>169</v>
      </c>
      <c r="CU77" s="148"/>
      <c r="CV77" s="149"/>
      <c r="CW77" s="147" t="s">
        <v>169</v>
      </c>
      <c r="CX77" s="148"/>
      <c r="CY77" s="149"/>
      <c r="CZ77" s="147" t="s">
        <v>169</v>
      </c>
      <c r="DA77" s="148"/>
      <c r="DB77" s="149"/>
      <c r="DC77" s="147" t="s">
        <v>169</v>
      </c>
      <c r="DD77" s="148"/>
      <c r="DE77" s="149"/>
      <c r="DF77" s="147" t="s">
        <v>169</v>
      </c>
      <c r="DG77" s="148"/>
      <c r="DH77" s="149"/>
      <c r="DI77" s="147" t="s">
        <v>169</v>
      </c>
      <c r="DJ77" s="148"/>
      <c r="DK77" s="149"/>
      <c r="DL77" s="6"/>
      <c r="DM77" s="6"/>
      <c r="DN77" s="6"/>
      <c r="DO77" s="33"/>
      <c r="DP77" s="33"/>
      <c r="DQ77" s="33"/>
      <c r="DR77" s="20"/>
      <c r="DS77" s="40"/>
      <c r="DT77" s="40"/>
      <c r="DU77" s="40"/>
      <c r="DV77" s="40"/>
      <c r="DW77" s="40"/>
      <c r="DX77" s="40"/>
      <c r="DY77" s="40"/>
    </row>
    <row r="78" spans="1:129" ht="9" customHeight="1" x14ac:dyDescent="0.25">
      <c r="A78" s="20"/>
      <c r="B78" s="182" t="s">
        <v>121</v>
      </c>
      <c r="C78" s="182"/>
      <c r="D78" s="182"/>
      <c r="E78" s="182"/>
      <c r="F78" s="182"/>
      <c r="G78" s="182"/>
      <c r="H78" s="182"/>
      <c r="I78" s="182"/>
      <c r="J78" s="182"/>
      <c r="K78" s="182"/>
      <c r="L78" s="182"/>
      <c r="M78" s="182"/>
      <c r="N78" s="182"/>
      <c r="O78" s="182"/>
      <c r="P78" s="182"/>
      <c r="Q78" s="182"/>
      <c r="R78" s="182"/>
      <c r="S78" s="182"/>
      <c r="T78" s="182"/>
      <c r="U78" s="182"/>
      <c r="V78" s="182"/>
      <c r="W78" s="182"/>
      <c r="X78" s="182"/>
      <c r="Y78" s="182"/>
      <c r="Z78" s="182"/>
      <c r="AA78" s="182"/>
      <c r="AB78" s="182"/>
      <c r="AC78" s="182"/>
      <c r="AD78" s="182"/>
      <c r="AE78" s="182"/>
      <c r="AF78" s="182"/>
      <c r="AG78" s="182"/>
      <c r="AH78" s="182"/>
      <c r="AI78" s="182"/>
      <c r="AJ78" s="182"/>
      <c r="AK78" s="182"/>
      <c r="AL78" s="182"/>
      <c r="AM78" s="182"/>
      <c r="AN78" s="182"/>
      <c r="AO78" s="182"/>
      <c r="AP78" s="182"/>
      <c r="AQ78" s="182"/>
      <c r="AR78" s="182"/>
      <c r="AS78" s="182"/>
      <c r="AT78" s="182"/>
      <c r="AU78" s="182"/>
      <c r="AV78" s="182"/>
      <c r="AW78" s="182"/>
      <c r="AX78" s="182"/>
      <c r="AY78" s="182"/>
      <c r="AZ78" s="182"/>
      <c r="BA78" s="182"/>
      <c r="BB78" s="182"/>
      <c r="BC78" s="182"/>
      <c r="BD78" s="182"/>
      <c r="BE78" s="182"/>
      <c r="BF78" s="182"/>
      <c r="BG78" s="182"/>
      <c r="BH78" s="182"/>
      <c r="BI78" s="182"/>
      <c r="BJ78" s="182"/>
      <c r="BK78" s="182"/>
      <c r="BL78" s="182"/>
      <c r="BM78" s="182"/>
      <c r="BN78" s="182"/>
      <c r="BO78" s="182"/>
      <c r="BP78" s="157"/>
      <c r="BQ78" s="157"/>
      <c r="BR78" s="157"/>
      <c r="BS78" s="157"/>
      <c r="BT78" s="157"/>
      <c r="BU78" s="157"/>
      <c r="BV78" s="157"/>
      <c r="BW78" s="157"/>
      <c r="BX78" s="56"/>
      <c r="BY78" s="56"/>
      <c r="BZ78" s="56"/>
      <c r="CA78" s="56"/>
      <c r="CB78" s="150"/>
      <c r="CC78" s="151"/>
      <c r="CD78" s="152"/>
      <c r="CE78" s="150"/>
      <c r="CF78" s="151"/>
      <c r="CG78" s="152"/>
      <c r="CH78" s="150"/>
      <c r="CI78" s="151"/>
      <c r="CJ78" s="152"/>
      <c r="CK78" s="150"/>
      <c r="CL78" s="151"/>
      <c r="CM78" s="152"/>
      <c r="CN78" s="150"/>
      <c r="CO78" s="151"/>
      <c r="CP78" s="152"/>
      <c r="CQ78" s="150"/>
      <c r="CR78" s="151"/>
      <c r="CS78" s="152"/>
      <c r="CT78" s="150"/>
      <c r="CU78" s="151"/>
      <c r="CV78" s="152"/>
      <c r="CW78" s="150"/>
      <c r="CX78" s="151"/>
      <c r="CY78" s="152"/>
      <c r="CZ78" s="150"/>
      <c r="DA78" s="151"/>
      <c r="DB78" s="152"/>
      <c r="DC78" s="150"/>
      <c r="DD78" s="151"/>
      <c r="DE78" s="152"/>
      <c r="DF78" s="150"/>
      <c r="DG78" s="151"/>
      <c r="DH78" s="152"/>
      <c r="DI78" s="150"/>
      <c r="DJ78" s="151"/>
      <c r="DK78" s="152"/>
      <c r="DL78" s="6"/>
      <c r="DM78" s="6"/>
      <c r="DN78" s="6"/>
      <c r="DO78" s="33"/>
      <c r="DP78" s="33"/>
      <c r="DQ78" s="33"/>
      <c r="DR78" s="20"/>
      <c r="DS78" s="40"/>
      <c r="DT78" s="40"/>
      <c r="DU78" s="40"/>
      <c r="DV78" s="40"/>
      <c r="DW78" s="40"/>
      <c r="DX78" s="40"/>
      <c r="DY78" s="40"/>
    </row>
    <row r="79" spans="1:129" ht="12" customHeight="1" x14ac:dyDescent="0.25">
      <c r="A79" s="20"/>
      <c r="B79" s="60"/>
      <c r="C79" s="60"/>
      <c r="D79" s="60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33"/>
      <c r="DP79" s="33"/>
      <c r="DQ79" s="33"/>
      <c r="DR79" s="20"/>
      <c r="DS79" s="40"/>
      <c r="DT79" s="40"/>
      <c r="DU79" s="40"/>
      <c r="DV79" s="40"/>
      <c r="DW79" s="40"/>
      <c r="DX79" s="40"/>
      <c r="DY79" s="40"/>
    </row>
    <row r="80" spans="1:129" ht="12" customHeight="1" x14ac:dyDescent="0.25">
      <c r="A80" s="20"/>
      <c r="B80" s="60"/>
      <c r="C80" s="60"/>
      <c r="D80" s="60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33"/>
      <c r="DP80" s="33"/>
      <c r="DQ80" s="33"/>
      <c r="DR80" s="20"/>
      <c r="DS80" s="40"/>
      <c r="DT80" s="40"/>
      <c r="DU80" s="40"/>
      <c r="DV80" s="40"/>
      <c r="DW80" s="40"/>
      <c r="DX80" s="40"/>
      <c r="DY80" s="40"/>
    </row>
    <row r="81" spans="1:129" ht="12" customHeight="1" x14ac:dyDescent="0.25">
      <c r="A81" s="20"/>
      <c r="B81" s="60"/>
      <c r="C81" s="60"/>
      <c r="D81" s="60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33"/>
      <c r="DP81" s="33"/>
      <c r="DQ81" s="33"/>
      <c r="DR81" s="20"/>
      <c r="DS81" s="40"/>
      <c r="DT81" s="40"/>
      <c r="DU81" s="40"/>
      <c r="DV81" s="40"/>
      <c r="DW81" s="40"/>
      <c r="DX81" s="40"/>
      <c r="DY81" s="40"/>
    </row>
    <row r="82" spans="1:129" ht="15.75" customHeight="1" x14ac:dyDescent="0.2">
      <c r="A82" s="20"/>
      <c r="B82" s="44"/>
      <c r="C82" s="44"/>
      <c r="D82" s="44"/>
      <c r="E82" s="44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  <c r="CT82" s="20"/>
      <c r="CU82" s="20"/>
      <c r="CV82" s="20"/>
      <c r="CW82" s="20"/>
      <c r="CX82" s="20"/>
      <c r="CY82" s="20"/>
      <c r="CZ82" s="20"/>
      <c r="DA82" s="20"/>
      <c r="DB82" s="20"/>
      <c r="DC82" s="20"/>
      <c r="DD82" s="20"/>
      <c r="DE82" s="20"/>
      <c r="DF82" s="20"/>
      <c r="DG82" s="20"/>
      <c r="DH82" s="20"/>
      <c r="DI82" s="20"/>
      <c r="DJ82" s="20"/>
      <c r="DK82" s="20"/>
      <c r="DL82" s="20"/>
      <c r="DM82" s="20"/>
      <c r="DN82" s="44"/>
      <c r="DO82" s="44"/>
      <c r="DP82" s="44"/>
      <c r="DQ82" s="44"/>
      <c r="DR82" s="20"/>
      <c r="DS82" s="40"/>
      <c r="DT82" s="40"/>
      <c r="DU82" s="40"/>
      <c r="DV82" s="40"/>
      <c r="DW82" s="40"/>
      <c r="DX82" s="40"/>
      <c r="DY82" s="40"/>
    </row>
    <row r="83" spans="1:129" x14ac:dyDescent="0.2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40"/>
      <c r="DT83" s="40"/>
      <c r="DU83" s="40"/>
      <c r="DV83" s="40"/>
      <c r="DW83" s="40"/>
      <c r="DX83" s="40"/>
      <c r="DY83" s="40"/>
    </row>
    <row r="84" spans="1:129" x14ac:dyDescent="0.2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40"/>
      <c r="DT84" s="40"/>
      <c r="DU84" s="40"/>
      <c r="DV84" s="40"/>
      <c r="DW84" s="40"/>
      <c r="DX84" s="40"/>
      <c r="DY84" s="40"/>
    </row>
    <row r="85" spans="1:129" x14ac:dyDescent="0.2">
      <c r="DS85" s="40"/>
      <c r="DT85" s="40"/>
      <c r="DU85" s="40"/>
      <c r="DV85" s="40"/>
      <c r="DW85" s="40"/>
      <c r="DX85" s="40"/>
      <c r="DY85" s="40"/>
    </row>
    <row r="86" spans="1:129" x14ac:dyDescent="0.2">
      <c r="DS86" s="40"/>
      <c r="DT86" s="40"/>
      <c r="DU86" s="40"/>
      <c r="DV86" s="40"/>
      <c r="DW86" s="40"/>
      <c r="DX86" s="40"/>
      <c r="DY86" s="40"/>
    </row>
    <row r="87" spans="1:129" x14ac:dyDescent="0.2">
      <c r="DS87" s="40"/>
      <c r="DT87" s="40"/>
      <c r="DU87" s="40"/>
      <c r="DV87" s="40"/>
      <c r="DW87" s="40"/>
      <c r="DX87" s="40"/>
      <c r="DY87" s="40"/>
    </row>
    <row r="88" spans="1:129" x14ac:dyDescent="0.2">
      <c r="DS88" s="40"/>
      <c r="DT88" s="40"/>
      <c r="DU88" s="40"/>
      <c r="DV88" s="40"/>
      <c r="DW88" s="40"/>
      <c r="DX88" s="40"/>
      <c r="DY88" s="40"/>
    </row>
    <row r="89" spans="1:129" x14ac:dyDescent="0.2">
      <c r="DS89" s="40"/>
      <c r="DT89" s="40"/>
      <c r="DU89" s="40"/>
      <c r="DV89" s="40"/>
      <c r="DW89" s="40"/>
      <c r="DX89" s="40"/>
      <c r="DY89" s="40"/>
    </row>
    <row r="90" spans="1:129" ht="13.5" customHeight="1" x14ac:dyDescent="0.2">
      <c r="DS90" s="40"/>
      <c r="DT90" s="40"/>
      <c r="DU90" s="40"/>
      <c r="DV90" s="40"/>
      <c r="DW90" s="40"/>
      <c r="DX90" s="40"/>
      <c r="DY90" s="40"/>
    </row>
    <row r="91" spans="1:129" s="2" customFormat="1" ht="13.2" x14ac:dyDescent="0.25"/>
    <row r="92" spans="1:129" s="2" customFormat="1" ht="6" customHeight="1" x14ac:dyDescent="0.25"/>
    <row r="93" spans="1:129" s="2" customFormat="1" ht="9" customHeight="1" x14ac:dyDescent="0.25"/>
    <row r="94" spans="1:129" s="1" customFormat="1" ht="5.25" customHeight="1" x14ac:dyDescent="0.2"/>
  </sheetData>
  <mergeCells count="273">
    <mergeCell ref="CZ69:DB70"/>
    <mergeCell ref="DC69:DE70"/>
    <mergeCell ref="DF69:DH70"/>
    <mergeCell ref="DF77:DH78"/>
    <mergeCell ref="DI77:DK78"/>
    <mergeCell ref="DI73:DK74"/>
    <mergeCell ref="BP77:BW78"/>
    <mergeCell ref="CB77:CD78"/>
    <mergeCell ref="CE77:CG78"/>
    <mergeCell ref="CH77:CJ78"/>
    <mergeCell ref="CK77:CM78"/>
    <mergeCell ref="CN77:CP78"/>
    <mergeCell ref="CQ77:CS78"/>
    <mergeCell ref="CT77:CV78"/>
    <mergeCell ref="CW77:CY78"/>
    <mergeCell ref="CQ73:CS74"/>
    <mergeCell ref="CT73:CV74"/>
    <mergeCell ref="CW73:CY74"/>
    <mergeCell ref="CZ77:DB78"/>
    <mergeCell ref="DC77:DE78"/>
    <mergeCell ref="BP73:BW74"/>
    <mergeCell ref="CB73:CD74"/>
    <mergeCell ref="CE73:CG74"/>
    <mergeCell ref="CH73:CJ74"/>
    <mergeCell ref="CK73:CM74"/>
    <mergeCell ref="CN73:CP74"/>
    <mergeCell ref="CZ73:DB74"/>
    <mergeCell ref="DC73:DE74"/>
    <mergeCell ref="DF73:DH74"/>
    <mergeCell ref="BS2:BU3"/>
    <mergeCell ref="DI65:DK66"/>
    <mergeCell ref="BP69:BW70"/>
    <mergeCell ref="CB69:CD70"/>
    <mergeCell ref="CE69:CG70"/>
    <mergeCell ref="CH69:CJ70"/>
    <mergeCell ref="CK69:CM70"/>
    <mergeCell ref="CN69:CP70"/>
    <mergeCell ref="CQ69:CS70"/>
    <mergeCell ref="CT69:CV70"/>
    <mergeCell ref="CW69:CY70"/>
    <mergeCell ref="CQ65:CS66"/>
    <mergeCell ref="CT65:CV66"/>
    <mergeCell ref="CW65:CY66"/>
    <mergeCell ref="CZ65:DB66"/>
    <mergeCell ref="DC65:DE66"/>
    <mergeCell ref="DF65:DH66"/>
    <mergeCell ref="BP65:BW66"/>
    <mergeCell ref="CB65:CD66"/>
    <mergeCell ref="CE65:CG66"/>
    <mergeCell ref="CH65:CJ66"/>
    <mergeCell ref="CK65:CM66"/>
    <mergeCell ref="CN65:CP66"/>
    <mergeCell ref="DI69:DK70"/>
    <mergeCell ref="BG5:BI5"/>
    <mergeCell ref="BJ5:BL5"/>
    <mergeCell ref="BM5:BR5"/>
    <mergeCell ref="A1:D1"/>
    <mergeCell ref="Z1:AC1"/>
    <mergeCell ref="B2:D2"/>
    <mergeCell ref="Z2:AB2"/>
    <mergeCell ref="AD2:AK2"/>
    <mergeCell ref="AL2:AN3"/>
    <mergeCell ref="B13:BL13"/>
    <mergeCell ref="BP13:BW13"/>
    <mergeCell ref="CA13:DK13"/>
    <mergeCell ref="BG2:BI3"/>
    <mergeCell ref="BJ2:BL3"/>
    <mergeCell ref="BM2:BO3"/>
    <mergeCell ref="BP2:BR3"/>
    <mergeCell ref="BS5:BU5"/>
    <mergeCell ref="BV5:BX5"/>
    <mergeCell ref="BY5:CA5"/>
    <mergeCell ref="AD5:AK5"/>
    <mergeCell ref="AL5:AN5"/>
    <mergeCell ref="AO5:AQ5"/>
    <mergeCell ref="AR5:AT5"/>
    <mergeCell ref="AU5:AW5"/>
    <mergeCell ref="AO2:AQ3"/>
    <mergeCell ref="AR2:AT3"/>
    <mergeCell ref="AU2:AW3"/>
    <mergeCell ref="AX2:AZ3"/>
    <mergeCell ref="BA2:BC3"/>
    <mergeCell ref="BD2:BF3"/>
    <mergeCell ref="AX5:AZ5"/>
    <mergeCell ref="BA5:BC5"/>
    <mergeCell ref="BD5:BF5"/>
    <mergeCell ref="B8:DQ8"/>
    <mergeCell ref="B9:DQ9"/>
    <mergeCell ref="B10:DQ10"/>
    <mergeCell ref="CW44:CY45"/>
    <mergeCell ref="CZ44:DB45"/>
    <mergeCell ref="DC44:DE45"/>
    <mergeCell ref="DF44:DH45"/>
    <mergeCell ref="CW32:CY32"/>
    <mergeCell ref="DC32:DE32"/>
    <mergeCell ref="DF32:DH32"/>
    <mergeCell ref="BP18:BW19"/>
    <mergeCell ref="CB18:CD19"/>
    <mergeCell ref="CB26:CD26"/>
    <mergeCell ref="CE26:CG26"/>
    <mergeCell ref="CZ26:DB26"/>
    <mergeCell ref="DC26:DE26"/>
    <mergeCell ref="DF26:DH26"/>
    <mergeCell ref="DI44:DK45"/>
    <mergeCell ref="B14:BL16"/>
    <mergeCell ref="BP15:BW15"/>
    <mergeCell ref="CB15:CD15"/>
    <mergeCell ref="B12:BL12"/>
    <mergeCell ref="BP12:BW12"/>
    <mergeCell ref="CA12:DK12"/>
    <mergeCell ref="CQ53:CS54"/>
    <mergeCell ref="CT53:CV54"/>
    <mergeCell ref="DF53:DH54"/>
    <mergeCell ref="CZ50:DB51"/>
    <mergeCell ref="DC50:DE51"/>
    <mergeCell ref="DF50:DH51"/>
    <mergeCell ref="CZ53:DB54"/>
    <mergeCell ref="DC53:DE54"/>
    <mergeCell ref="CZ32:DB32"/>
    <mergeCell ref="DC47:DE48"/>
    <mergeCell ref="DF47:DH48"/>
    <mergeCell ref="CQ44:CS45"/>
    <mergeCell ref="CT44:CV45"/>
    <mergeCell ref="CQ32:CS32"/>
    <mergeCell ref="CT32:CV32"/>
    <mergeCell ref="DI53:DK54"/>
    <mergeCell ref="DF28:DH28"/>
    <mergeCell ref="DI50:DK51"/>
    <mergeCell ref="BP53:BW54"/>
    <mergeCell ref="CB53:CD54"/>
    <mergeCell ref="CE53:CG54"/>
    <mergeCell ref="CH53:CJ54"/>
    <mergeCell ref="CK53:CM54"/>
    <mergeCell ref="CN53:CP54"/>
    <mergeCell ref="CW53:CY54"/>
    <mergeCell ref="DI47:DK48"/>
    <mergeCell ref="BP50:BW51"/>
    <mergeCell ref="CB50:CD51"/>
    <mergeCell ref="CE50:CG51"/>
    <mergeCell ref="CH50:CJ51"/>
    <mergeCell ref="CK50:CM51"/>
    <mergeCell ref="CN50:CP51"/>
    <mergeCell ref="CQ50:CS51"/>
    <mergeCell ref="CT50:CV51"/>
    <mergeCell ref="CW50:CY51"/>
    <mergeCell ref="CQ47:CS48"/>
    <mergeCell ref="CT47:CV48"/>
    <mergeCell ref="CW47:CY48"/>
    <mergeCell ref="CZ47:DB48"/>
    <mergeCell ref="BP47:BW48"/>
    <mergeCell ref="CB47:CD48"/>
    <mergeCell ref="CE47:CG48"/>
    <mergeCell ref="CH47:CJ48"/>
    <mergeCell ref="CK47:CM48"/>
    <mergeCell ref="CN47:CP48"/>
    <mergeCell ref="BP44:BW45"/>
    <mergeCell ref="CB44:CD45"/>
    <mergeCell ref="CH44:CJ45"/>
    <mergeCell ref="CK44:CM45"/>
    <mergeCell ref="CN44:CP45"/>
    <mergeCell ref="CE44:CG45"/>
    <mergeCell ref="CW28:CY28"/>
    <mergeCell ref="CZ28:DB28"/>
    <mergeCell ref="DC28:DE28"/>
    <mergeCell ref="CK26:CM26"/>
    <mergeCell ref="CN26:CP26"/>
    <mergeCell ref="CQ26:CS26"/>
    <mergeCell ref="CZ30:DB30"/>
    <mergeCell ref="DC30:DE30"/>
    <mergeCell ref="DF30:DH30"/>
    <mergeCell ref="CT26:CV26"/>
    <mergeCell ref="CW26:CY26"/>
    <mergeCell ref="CT28:CV28"/>
    <mergeCell ref="DI32:DK32"/>
    <mergeCell ref="BP34:BW34"/>
    <mergeCell ref="CB34:CD34"/>
    <mergeCell ref="DI30:DK30"/>
    <mergeCell ref="BP32:BW32"/>
    <mergeCell ref="CB32:CD32"/>
    <mergeCell ref="CE32:CG32"/>
    <mergeCell ref="CH32:CJ32"/>
    <mergeCell ref="BP30:BW30"/>
    <mergeCell ref="CB30:CD30"/>
    <mergeCell ref="CE30:CG30"/>
    <mergeCell ref="CH30:CJ30"/>
    <mergeCell ref="CK30:CM30"/>
    <mergeCell ref="CN30:CP30"/>
    <mergeCell ref="CQ30:CS30"/>
    <mergeCell ref="CT30:CV30"/>
    <mergeCell ref="CW30:CY30"/>
    <mergeCell ref="CK32:CM32"/>
    <mergeCell ref="CN32:CP32"/>
    <mergeCell ref="B23:BO23"/>
    <mergeCell ref="B24:BO24"/>
    <mergeCell ref="B25:BO25"/>
    <mergeCell ref="B26:BO26"/>
    <mergeCell ref="B27:BO27"/>
    <mergeCell ref="B28:BO28"/>
    <mergeCell ref="B29:BO29"/>
    <mergeCell ref="B30:BO30"/>
    <mergeCell ref="B31:BO31"/>
    <mergeCell ref="B32:BO32"/>
    <mergeCell ref="B33:BO33"/>
    <mergeCell ref="B34:BO34"/>
    <mergeCell ref="DI26:DK26"/>
    <mergeCell ref="BP26:BW26"/>
    <mergeCell ref="DI28:DK28"/>
    <mergeCell ref="CH26:CJ26"/>
    <mergeCell ref="B58:BO58"/>
    <mergeCell ref="B41:BO41"/>
    <mergeCell ref="B42:BO42"/>
    <mergeCell ref="B43:BO43"/>
    <mergeCell ref="B44:BO44"/>
    <mergeCell ref="B45:BO45"/>
    <mergeCell ref="B46:BO46"/>
    <mergeCell ref="B47:BO47"/>
    <mergeCell ref="B48:BO48"/>
    <mergeCell ref="B49:BO49"/>
    <mergeCell ref="BP28:BW28"/>
    <mergeCell ref="CB28:CD28"/>
    <mergeCell ref="CE28:CG28"/>
    <mergeCell ref="CH28:CJ28"/>
    <mergeCell ref="CK28:CM28"/>
    <mergeCell ref="CN28:CP28"/>
    <mergeCell ref="CQ28:CS28"/>
    <mergeCell ref="B61:BO61"/>
    <mergeCell ref="B62:BO62"/>
    <mergeCell ref="B63:BO63"/>
    <mergeCell ref="B64:BO64"/>
    <mergeCell ref="CE34:CG34"/>
    <mergeCell ref="CH34:CJ34"/>
    <mergeCell ref="B35:BO35"/>
    <mergeCell ref="BP36:BW36"/>
    <mergeCell ref="BP40:BW40"/>
    <mergeCell ref="CH38:CJ38"/>
    <mergeCell ref="B36:BO36"/>
    <mergeCell ref="B37:BO37"/>
    <mergeCell ref="CH40:CJ40"/>
    <mergeCell ref="CB36:CD36"/>
    <mergeCell ref="CE36:CG36"/>
    <mergeCell ref="CH36:CJ36"/>
    <mergeCell ref="B50:BO50"/>
    <mergeCell ref="B51:BO51"/>
    <mergeCell ref="B52:BO52"/>
    <mergeCell ref="B53:BO53"/>
    <mergeCell ref="B54:BO54"/>
    <mergeCell ref="B55:BO55"/>
    <mergeCell ref="B56:BO56"/>
    <mergeCell ref="B57:BO57"/>
    <mergeCell ref="B77:BO77"/>
    <mergeCell ref="B78:BO78"/>
    <mergeCell ref="B74:BO74"/>
    <mergeCell ref="B75:BO75"/>
    <mergeCell ref="B76:BO76"/>
    <mergeCell ref="B69:BO69"/>
    <mergeCell ref="BP38:BW38"/>
    <mergeCell ref="CB38:CD38"/>
    <mergeCell ref="CE38:CG38"/>
    <mergeCell ref="B38:BO38"/>
    <mergeCell ref="CB40:CD40"/>
    <mergeCell ref="CE40:CG40"/>
    <mergeCell ref="B71:BO71"/>
    <mergeCell ref="B72:BO72"/>
    <mergeCell ref="B73:BO73"/>
    <mergeCell ref="B65:BO65"/>
    <mergeCell ref="B66:BO66"/>
    <mergeCell ref="B67:BO67"/>
    <mergeCell ref="B68:BO68"/>
    <mergeCell ref="B39:BO39"/>
    <mergeCell ref="B40:BO40"/>
    <mergeCell ref="B70:BO70"/>
    <mergeCell ref="B59:BO59"/>
    <mergeCell ref="B60:BO60"/>
  </mergeCells>
  <printOptions horizontalCentered="1"/>
  <pageMargins left="0.35433070866141736" right="0.19685039370078741" top="0.35433070866141736" bottom="0.19685039370078741" header="0" footer="0"/>
  <pageSetup paperSize="9" scale="83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G34"/>
  <sheetViews>
    <sheetView tabSelected="1" zoomScale="85" zoomScaleNormal="85" workbookViewId="0">
      <selection activeCell="D9" sqref="D9"/>
    </sheetView>
  </sheetViews>
  <sheetFormatPr defaultRowHeight="13.2" x14ac:dyDescent="0.25"/>
  <cols>
    <col min="3" max="3" width="17.5546875" customWidth="1"/>
  </cols>
  <sheetData>
    <row r="7" spans="2:4" ht="17.399999999999999" x14ac:dyDescent="0.3">
      <c r="C7" s="77"/>
    </row>
    <row r="9" spans="2:4" x14ac:dyDescent="0.25">
      <c r="B9" t="s">
        <v>170</v>
      </c>
      <c r="C9" t="s">
        <v>183</v>
      </c>
    </row>
    <row r="10" spans="2:4" x14ac:dyDescent="0.25">
      <c r="B10" t="s">
        <v>171</v>
      </c>
      <c r="C10" s="79">
        <v>602711</v>
      </c>
    </row>
    <row r="11" spans="2:4" x14ac:dyDescent="0.25">
      <c r="B11" t="s">
        <v>172</v>
      </c>
      <c r="C11" s="79">
        <v>869655</v>
      </c>
    </row>
    <row r="12" spans="2:4" x14ac:dyDescent="0.25">
      <c r="B12" t="s">
        <v>179</v>
      </c>
      <c r="C12" s="79">
        <v>800427</v>
      </c>
    </row>
    <row r="13" spans="2:4" x14ac:dyDescent="0.25">
      <c r="B13" t="s">
        <v>180</v>
      </c>
      <c r="C13" s="79">
        <v>774923</v>
      </c>
    </row>
    <row r="14" spans="2:4" x14ac:dyDescent="0.25">
      <c r="C14" s="79"/>
    </row>
    <row r="15" spans="2:4" x14ac:dyDescent="0.25">
      <c r="B15" t="s">
        <v>171</v>
      </c>
      <c r="C15" s="79">
        <f>C10</f>
        <v>602711</v>
      </c>
      <c r="D15" t="s">
        <v>173</v>
      </c>
    </row>
    <row r="16" spans="2:4" x14ac:dyDescent="0.25">
      <c r="B16" t="s">
        <v>172</v>
      </c>
      <c r="C16" s="79">
        <f>C15+C11</f>
        <v>1472366</v>
      </c>
    </row>
    <row r="17" spans="2:7" x14ac:dyDescent="0.25">
      <c r="B17" t="s">
        <v>179</v>
      </c>
      <c r="C17" s="79">
        <f>C16+C12</f>
        <v>2272793</v>
      </c>
    </row>
    <row r="18" spans="2:7" x14ac:dyDescent="0.25">
      <c r="B18" t="s">
        <v>180</v>
      </c>
      <c r="C18" s="79">
        <f>C17+C13</f>
        <v>3047716</v>
      </c>
    </row>
    <row r="19" spans="2:7" x14ac:dyDescent="0.25">
      <c r="B19" t="s">
        <v>171</v>
      </c>
      <c r="C19" s="79">
        <f>ROUND(C10*0.06,0)</f>
        <v>36163</v>
      </c>
      <c r="D19" t="s">
        <v>95</v>
      </c>
    </row>
    <row r="20" spans="2:7" x14ac:dyDescent="0.25">
      <c r="B20" t="s">
        <v>172</v>
      </c>
      <c r="C20" s="79">
        <f>ROUND(C11*0.06 + C19,0)</f>
        <v>88342</v>
      </c>
    </row>
    <row r="21" spans="2:7" x14ac:dyDescent="0.25">
      <c r="B21" t="s">
        <v>179</v>
      </c>
      <c r="C21" s="79">
        <f>ROUND(C12*0.06 + C20,0)</f>
        <v>136368</v>
      </c>
    </row>
    <row r="22" spans="2:7" x14ac:dyDescent="0.25">
      <c r="B22" t="s">
        <v>180</v>
      </c>
      <c r="C22" s="79">
        <f>ROUND(C13*0.06 + C21,0)</f>
        <v>182863</v>
      </c>
    </row>
    <row r="23" spans="2:7" x14ac:dyDescent="0.25">
      <c r="B23" t="s">
        <v>171</v>
      </c>
      <c r="C23" s="79">
        <f>ROUND(8112+2106.5,0)</f>
        <v>10219</v>
      </c>
      <c r="D23" t="s">
        <v>181</v>
      </c>
      <c r="G23">
        <f>8112+2106.5</f>
        <v>10218.5</v>
      </c>
    </row>
    <row r="24" spans="2:7" x14ac:dyDescent="0.25">
      <c r="B24" t="s">
        <v>172</v>
      </c>
      <c r="C24" s="79">
        <f>ROUND(G23*2,0)</f>
        <v>20437</v>
      </c>
    </row>
    <row r="25" spans="2:7" x14ac:dyDescent="0.25">
      <c r="B25" t="s">
        <v>179</v>
      </c>
      <c r="C25" s="79">
        <f>ROUND(G23*3,0)</f>
        <v>30656</v>
      </c>
    </row>
    <row r="26" spans="2:7" x14ac:dyDescent="0.25">
      <c r="B26" t="s">
        <v>180</v>
      </c>
      <c r="C26" s="79">
        <f>ROUND(G23*4,0)</f>
        <v>40874</v>
      </c>
    </row>
    <row r="28" spans="2:7" x14ac:dyDescent="0.25">
      <c r="B28" t="s">
        <v>171</v>
      </c>
      <c r="C28" s="79">
        <f>ROUND(C10*0.06 - C23,0)</f>
        <v>25944</v>
      </c>
      <c r="D28" t="s">
        <v>182</v>
      </c>
    </row>
    <row r="29" spans="2:7" x14ac:dyDescent="0.25">
      <c r="B29" t="s">
        <v>172</v>
      </c>
      <c r="C29" s="79">
        <f>ROUND(C11*0.06 - C23,0)</f>
        <v>41960</v>
      </c>
    </row>
    <row r="30" spans="2:7" x14ac:dyDescent="0.25">
      <c r="B30" t="s">
        <v>179</v>
      </c>
      <c r="C30" s="79">
        <f>ROUND(C12*0.06 - C23,0)</f>
        <v>37807</v>
      </c>
    </row>
    <row r="31" spans="2:7" x14ac:dyDescent="0.25">
      <c r="B31" t="s">
        <v>180</v>
      </c>
      <c r="C31" s="79">
        <f>ROUND(C13*0.06 - C23,0)</f>
        <v>36276</v>
      </c>
    </row>
    <row r="32" spans="2:7" x14ac:dyDescent="0.25">
      <c r="C32" s="79">
        <f>ROUND(C22 - C26,0)</f>
        <v>141989</v>
      </c>
    </row>
    <row r="34" spans="3:4" x14ac:dyDescent="0.25">
      <c r="C34" s="79">
        <f>ROUND((C18-C22 - 300000) * 0.01,0)</f>
        <v>25649</v>
      </c>
      <c r="D34" t="s">
        <v>184</v>
      </c>
    </row>
  </sheetData>
  <dataConsolidate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Module1.RefreshConnection_Click">
                <anchor moveWithCells="1" sizeWithCells="1">
                  <from>
                    <xdr:col>1</xdr:col>
                    <xdr:colOff>30480</xdr:colOff>
                    <xdr:row>1</xdr:row>
                    <xdr:rowOff>7620</xdr:rowOff>
                  </from>
                  <to>
                    <xdr:col>3</xdr:col>
                    <xdr:colOff>243840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Drop Down 2">
              <controlPr defaultSize="0" print="0" autoLine="0" autoPict="0" macro="[0]!DropDown2_Change">
                <anchor moveWithCells="1">
                  <from>
                    <xdr:col>1</xdr:col>
                    <xdr:colOff>15240</xdr:colOff>
                    <xdr:row>4</xdr:row>
                    <xdr:rowOff>68580</xdr:rowOff>
                  </from>
                  <to>
                    <xdr:col>3</xdr:col>
                    <xdr:colOff>220980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FillReport_Click">
                <anchor moveWithCells="1" sizeWithCells="1">
                  <from>
                    <xdr:col>4</xdr:col>
                    <xdr:colOff>0</xdr:colOff>
                    <xdr:row>4</xdr:row>
                    <xdr:rowOff>38100</xdr:rowOff>
                  </from>
                  <to>
                    <xdr:col>8</xdr:col>
                    <xdr:colOff>289560</xdr:colOff>
                    <xdr:row>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36"/>
  <sheetViews>
    <sheetView workbookViewId="0">
      <selection activeCell="B22" sqref="B22"/>
    </sheetView>
  </sheetViews>
  <sheetFormatPr defaultRowHeight="13.2" x14ac:dyDescent="0.25"/>
  <cols>
    <col min="1" max="1" width="11.6640625" style="76" customWidth="1"/>
    <col min="2" max="2" width="15.77734375" style="78" customWidth="1"/>
    <col min="3" max="3" width="16.44140625" customWidth="1"/>
    <col min="4" max="4" width="17.6640625" style="78" customWidth="1"/>
    <col min="5" max="5" width="16.44140625" customWidth="1"/>
  </cols>
  <sheetData>
    <row r="1" spans="1:5" ht="14.4" x14ac:dyDescent="0.3">
      <c r="A1" s="72" t="s">
        <v>174</v>
      </c>
      <c r="B1" s="73" t="s">
        <v>175</v>
      </c>
      <c r="C1" s="74" t="s">
        <v>176</v>
      </c>
      <c r="D1" s="73" t="s">
        <v>177</v>
      </c>
      <c r="E1" s="75" t="s">
        <v>178</v>
      </c>
    </row>
    <row r="2" spans="1:5" x14ac:dyDescent="0.25">
      <c r="A2" s="76">
        <v>43466</v>
      </c>
      <c r="B2" s="78">
        <v>5555</v>
      </c>
      <c r="C2" s="76">
        <v>43469</v>
      </c>
      <c r="D2" s="78">
        <v>1234</v>
      </c>
    </row>
    <row r="3" spans="1:5" x14ac:dyDescent="0.25">
      <c r="A3" s="76">
        <v>43467</v>
      </c>
      <c r="B3" s="78">
        <v>2345</v>
      </c>
      <c r="C3" s="76"/>
    </row>
    <row r="4" spans="1:5" x14ac:dyDescent="0.25">
      <c r="A4" s="76">
        <v>43499</v>
      </c>
      <c r="B4" s="78">
        <v>222</v>
      </c>
      <c r="C4" s="76">
        <v>43502</v>
      </c>
      <c r="D4" s="78">
        <v>222</v>
      </c>
    </row>
    <row r="5" spans="1:5" x14ac:dyDescent="0.25">
      <c r="A5" s="76">
        <v>43500</v>
      </c>
      <c r="B5" s="78">
        <v>4321</v>
      </c>
      <c r="C5" s="76">
        <v>43516</v>
      </c>
      <c r="D5" s="78">
        <v>1234</v>
      </c>
    </row>
    <row r="6" spans="1:5" x14ac:dyDescent="0.25">
      <c r="A6" s="76">
        <v>43529</v>
      </c>
      <c r="B6" s="78">
        <v>2222</v>
      </c>
      <c r="C6" s="76">
        <v>43557</v>
      </c>
      <c r="D6" s="78">
        <v>1234</v>
      </c>
    </row>
    <row r="7" spans="1:5" x14ac:dyDescent="0.25">
      <c r="A7" s="76">
        <v>43561</v>
      </c>
      <c r="B7" s="78">
        <v>4321</v>
      </c>
      <c r="C7" s="76">
        <v>43567</v>
      </c>
      <c r="D7" s="78">
        <v>2222</v>
      </c>
    </row>
    <row r="8" spans="1:5" x14ac:dyDescent="0.25">
      <c r="A8" s="76">
        <v>43592</v>
      </c>
      <c r="B8" s="78">
        <v>4321</v>
      </c>
      <c r="C8" s="76">
        <v>43596</v>
      </c>
      <c r="D8" s="78">
        <v>1111</v>
      </c>
    </row>
    <row r="9" spans="1:5" x14ac:dyDescent="0.25">
      <c r="A9" s="76">
        <v>43623</v>
      </c>
      <c r="B9" s="78">
        <v>1234</v>
      </c>
    </row>
    <row r="10" spans="1:5" x14ac:dyDescent="0.25">
      <c r="A10" s="76">
        <v>43655</v>
      </c>
      <c r="B10" s="78">
        <v>4321</v>
      </c>
    </row>
    <row r="11" spans="1:5" x14ac:dyDescent="0.25">
      <c r="A11" s="76">
        <v>43656</v>
      </c>
      <c r="B11" s="78">
        <v>1234</v>
      </c>
    </row>
    <row r="12" spans="1:5" x14ac:dyDescent="0.25">
      <c r="A12" s="76">
        <v>43688</v>
      </c>
      <c r="B12" s="78">
        <v>4321</v>
      </c>
    </row>
    <row r="13" spans="1:5" x14ac:dyDescent="0.25">
      <c r="A13" s="76">
        <v>43720</v>
      </c>
      <c r="B13" s="78">
        <v>4321</v>
      </c>
      <c r="C13" s="76">
        <v>43740</v>
      </c>
      <c r="D13" s="78">
        <v>4321</v>
      </c>
    </row>
    <row r="14" spans="1:5" x14ac:dyDescent="0.25">
      <c r="A14" s="76">
        <v>43751</v>
      </c>
      <c r="B14" s="78">
        <v>1234</v>
      </c>
    </row>
    <row r="15" spans="1:5" x14ac:dyDescent="0.25">
      <c r="A15" s="76">
        <v>43783</v>
      </c>
      <c r="B15" s="78">
        <v>4321</v>
      </c>
    </row>
    <row r="16" spans="1:5" x14ac:dyDescent="0.25">
      <c r="A16" s="76">
        <v>43814</v>
      </c>
      <c r="B16" s="78">
        <v>2345</v>
      </c>
      <c r="C16" s="76">
        <v>43823</v>
      </c>
      <c r="D16" s="78">
        <v>2345</v>
      </c>
    </row>
    <row r="17" spans="1:5" x14ac:dyDescent="0.25">
      <c r="A17" s="76">
        <v>43846</v>
      </c>
      <c r="B17" s="78">
        <v>3456</v>
      </c>
    </row>
    <row r="18" spans="1:5" x14ac:dyDescent="0.25">
      <c r="A18" s="76">
        <v>43878</v>
      </c>
      <c r="B18" s="78">
        <v>4567</v>
      </c>
      <c r="C18" s="76">
        <v>43888</v>
      </c>
      <c r="D18" s="78">
        <v>4567</v>
      </c>
    </row>
    <row r="19" spans="1:5" x14ac:dyDescent="0.25">
      <c r="A19" s="76">
        <v>43908</v>
      </c>
      <c r="B19" s="78">
        <v>1234</v>
      </c>
    </row>
    <row r="20" spans="1:5" x14ac:dyDescent="0.25">
      <c r="A20" s="76">
        <v>43940</v>
      </c>
      <c r="B20" s="78">
        <v>123</v>
      </c>
      <c r="C20" s="76">
        <v>43950</v>
      </c>
      <c r="D20" s="78">
        <v>100</v>
      </c>
    </row>
    <row r="21" spans="1:5" x14ac:dyDescent="0.25">
      <c r="A21" s="76">
        <v>43941</v>
      </c>
      <c r="B21" s="78">
        <v>2345</v>
      </c>
    </row>
    <row r="22" spans="1:5" x14ac:dyDescent="0.25">
      <c r="A22" s="76">
        <v>44003</v>
      </c>
      <c r="B22" s="78">
        <v>4321</v>
      </c>
    </row>
    <row r="23" spans="1:5" x14ac:dyDescent="0.25">
      <c r="A23" s="76">
        <v>44004</v>
      </c>
      <c r="B23" s="78">
        <v>5555</v>
      </c>
      <c r="C23" s="76">
        <v>44008</v>
      </c>
      <c r="D23" s="78">
        <v>1234</v>
      </c>
    </row>
    <row r="24" spans="1:5" x14ac:dyDescent="0.25">
      <c r="A24" s="76">
        <v>44035</v>
      </c>
      <c r="B24" s="78">
        <v>2345</v>
      </c>
    </row>
    <row r="25" spans="1:5" x14ac:dyDescent="0.25">
      <c r="A25" s="76">
        <v>44036</v>
      </c>
      <c r="B25" s="78">
        <v>456</v>
      </c>
      <c r="C25" s="76">
        <v>44046</v>
      </c>
      <c r="D25" s="78">
        <v>456</v>
      </c>
    </row>
    <row r="26" spans="1:5" x14ac:dyDescent="0.25">
      <c r="A26" s="76">
        <v>44068</v>
      </c>
      <c r="B26" s="78">
        <v>2345</v>
      </c>
    </row>
    <row r="27" spans="1:5" x14ac:dyDescent="0.25">
      <c r="A27" s="76">
        <v>44069</v>
      </c>
      <c r="B27" s="78">
        <v>2160</v>
      </c>
    </row>
    <row r="28" spans="1:5" x14ac:dyDescent="0.25">
      <c r="A28" s="76">
        <v>44101</v>
      </c>
      <c r="B28" s="78">
        <v>3456</v>
      </c>
      <c r="C28" s="76">
        <v>44102</v>
      </c>
      <c r="D28" s="78">
        <v>3200</v>
      </c>
    </row>
    <row r="29" spans="1:5" x14ac:dyDescent="0.25">
      <c r="A29" s="76">
        <v>44132</v>
      </c>
      <c r="B29" s="78">
        <v>4444</v>
      </c>
    </row>
    <row r="30" spans="1:5" x14ac:dyDescent="0.25">
      <c r="A30" s="76">
        <v>44166</v>
      </c>
      <c r="B30" s="78">
        <v>2143</v>
      </c>
      <c r="C30" s="76">
        <v>44169</v>
      </c>
      <c r="D30" s="78">
        <v>2143</v>
      </c>
      <c r="E30">
        <v>74.272499999999994</v>
      </c>
    </row>
    <row r="31" spans="1:5" x14ac:dyDescent="0.25">
      <c r="A31" s="76">
        <v>44166</v>
      </c>
      <c r="B31" s="78">
        <v>300</v>
      </c>
    </row>
    <row r="32" spans="1:5" x14ac:dyDescent="0.25">
      <c r="A32" s="76">
        <v>44168</v>
      </c>
      <c r="B32" s="78">
        <v>1111</v>
      </c>
      <c r="C32" s="76">
        <v>44175</v>
      </c>
      <c r="D32" s="78">
        <v>1000</v>
      </c>
    </row>
    <row r="33" spans="1:5" x14ac:dyDescent="0.25">
      <c r="A33" s="76">
        <v>44171</v>
      </c>
      <c r="B33" s="78">
        <v>2222</v>
      </c>
    </row>
    <row r="34" spans="1:5" x14ac:dyDescent="0.25">
      <c r="A34" s="76">
        <v>44204</v>
      </c>
      <c r="B34" s="78">
        <v>3333</v>
      </c>
    </row>
    <row r="35" spans="1:5" x14ac:dyDescent="0.25">
      <c r="A35" s="76">
        <v>44237</v>
      </c>
      <c r="B35" s="78">
        <v>4444</v>
      </c>
    </row>
    <row r="36" spans="1:5" x14ac:dyDescent="0.25">
      <c r="A36" s="76">
        <v>44238</v>
      </c>
      <c r="B36" s="78">
        <v>5555</v>
      </c>
      <c r="C36" s="76">
        <v>44256</v>
      </c>
      <c r="D36" s="78">
        <v>5000</v>
      </c>
      <c r="E36">
        <v>74.2303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3:C7"/>
  <sheetViews>
    <sheetView workbookViewId="0">
      <selection activeCell="B6" sqref="B6"/>
    </sheetView>
  </sheetViews>
  <sheetFormatPr defaultRowHeight="13.2" x14ac:dyDescent="0.25"/>
  <cols>
    <col min="2" max="2" width="11.33203125" bestFit="1" customWidth="1"/>
    <col min="3" max="3" width="18.88671875" bestFit="1" customWidth="1"/>
  </cols>
  <sheetData>
    <row r="3" spans="2:3" x14ac:dyDescent="0.25">
      <c r="B3" s="69" t="s">
        <v>168</v>
      </c>
      <c r="C3" t="s">
        <v>167</v>
      </c>
    </row>
    <row r="4" spans="2:3" x14ac:dyDescent="0.25">
      <c r="B4" s="70">
        <v>2019</v>
      </c>
      <c r="C4" s="71">
        <v>2513315.6301000002</v>
      </c>
    </row>
    <row r="5" spans="2:3" x14ac:dyDescent="0.25">
      <c r="B5" s="70">
        <v>2020</v>
      </c>
      <c r="C5" s="71">
        <v>3047715.872</v>
      </c>
    </row>
    <row r="6" spans="2:3" x14ac:dyDescent="0.25">
      <c r="B6" s="70">
        <v>2021</v>
      </c>
      <c r="C6" s="71">
        <v>985864.62589999998</v>
      </c>
    </row>
    <row r="7" spans="2:3" x14ac:dyDescent="0.25">
      <c r="B7" s="70" t="s">
        <v>166</v>
      </c>
      <c r="C7" s="71">
        <v>6546896.1279999996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0B1CB37-6151-4AED-A991-0586BA0413F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0E9BF91-F37E-452F-839F-57E71DC669BA}">
  <ds:schemaRefs/>
</ds:datastoreItem>
</file>

<file path=customXml/itemProps3.xml><?xml version="1.0" encoding="utf-8"?>
<ds:datastoreItem xmlns:ds="http://schemas.openxmlformats.org/officeDocument/2006/customXml" ds:itemID="{7213680E-43F7-4655-A359-E70ED43C9630}">
  <ds:schemaRefs/>
</ds:datastoreItem>
</file>

<file path=customXml/itemProps4.xml><?xml version="1.0" encoding="utf-8"?>
<ds:datastoreItem xmlns:ds="http://schemas.openxmlformats.org/officeDocument/2006/customXml" ds:itemID="{8FDEF421-96B8-422F-AC1D-D9F45052DF46}">
  <ds:schemaRefs/>
</ds:datastoreItem>
</file>

<file path=customXml/itemProps5.xml><?xml version="1.0" encoding="utf-8"?>
<ds:datastoreItem xmlns:ds="http://schemas.openxmlformats.org/officeDocument/2006/customXml" ds:itemID="{4F8F4D5F-992E-46F6-8246-251290D78B05}">
  <ds:schemaRefs/>
</ds:datastoreItem>
</file>

<file path=customXml/itemProps6.xml><?xml version="1.0" encoding="utf-8"?>
<ds:datastoreItem xmlns:ds="http://schemas.openxmlformats.org/officeDocument/2006/customXml" ds:itemID="{41159FEE-5B1D-49BE-9B9F-46906B53D9B6}">
  <ds:schemaRefs/>
</ds:datastoreItem>
</file>

<file path=customXml/itemProps7.xml><?xml version="1.0" encoding="utf-8"?>
<ds:datastoreItem xmlns:ds="http://schemas.openxmlformats.org/officeDocument/2006/customXml" ds:itemID="{E500589D-95E0-4789-B422-3AE9CFA80D1D}">
  <ds:schemaRefs/>
</ds:datastoreItem>
</file>

<file path=customXml/itemProps8.xml><?xml version="1.0" encoding="utf-8"?>
<ds:datastoreItem xmlns:ds="http://schemas.openxmlformats.org/officeDocument/2006/customXml" ds:itemID="{2B565492-1EE5-4086-8966-DE5E0E80C9EC}">
  <ds:schemaRefs/>
</ds:datastoreItem>
</file>

<file path=customXml/itemProps9.xml><?xml version="1.0" encoding="utf-8"?>
<ds:datastoreItem xmlns:ds="http://schemas.openxmlformats.org/officeDocument/2006/customXml" ds:itemID="{372EFCB3-4D99-48A4-9666-53EBFC63C104}">
  <ds:schemaRefs/>
</ds:datastoreItem>
</file>

<file path=customXml/itemProps10.xml><?xml version="1.0" encoding="utf-8"?>
<ds:datastoreItem xmlns:ds="http://schemas.openxmlformats.org/officeDocument/2006/customXml" ds:itemID="{E036F57B-46C7-43B8-8CF9-62C8837884C3}">
  <ds:schemaRefs/>
</ds:datastoreItem>
</file>

<file path=customXml/itemProps11.xml><?xml version="1.0" encoding="utf-8"?>
<ds:datastoreItem xmlns:ds="http://schemas.openxmlformats.org/officeDocument/2006/customXml" ds:itemID="{CFB73BF6-C98A-4FD5-B133-E627B8BC0695}">
  <ds:schemaRefs/>
</ds:datastoreItem>
</file>

<file path=customXml/itemProps12.xml><?xml version="1.0" encoding="utf-8"?>
<ds:datastoreItem xmlns:ds="http://schemas.openxmlformats.org/officeDocument/2006/customXml" ds:itemID="{69932582-4EC5-46E7-9F77-9EF637210D9D}">
  <ds:schemaRefs/>
</ds:datastoreItem>
</file>

<file path=customXml/itemProps13.xml><?xml version="1.0" encoding="utf-8"?>
<ds:datastoreItem xmlns:ds="http://schemas.openxmlformats.org/officeDocument/2006/customXml" ds:itemID="{D1C65DA0-786D-4EF2-891C-74620D6C325E}">
  <ds:schemaRefs/>
</ds:datastoreItem>
</file>

<file path=customXml/itemProps14.xml><?xml version="1.0" encoding="utf-8"?>
<ds:datastoreItem xmlns:ds="http://schemas.openxmlformats.org/officeDocument/2006/customXml" ds:itemID="{FA41322A-8C22-48DF-AE97-D435FC7E88EB}">
  <ds:schemaRefs/>
</ds:datastoreItem>
</file>

<file path=customXml/itemProps15.xml><?xml version="1.0" encoding="utf-8"?>
<ds:datastoreItem xmlns:ds="http://schemas.openxmlformats.org/officeDocument/2006/customXml" ds:itemID="{A676B69E-0C8F-41B3-9A91-189993570F3F}">
  <ds:schemaRefs/>
</ds:datastoreItem>
</file>

<file path=customXml/itemProps16.xml><?xml version="1.0" encoding="utf-8"?>
<ds:datastoreItem xmlns:ds="http://schemas.openxmlformats.org/officeDocument/2006/customXml" ds:itemID="{C2AF9696-31BA-4CCD-84A0-7EAFDA60E4B1}">
  <ds:schemaRefs/>
</ds:datastoreItem>
</file>

<file path=customXml/itemProps17.xml><?xml version="1.0" encoding="utf-8"?>
<ds:datastoreItem xmlns:ds="http://schemas.openxmlformats.org/officeDocument/2006/customXml" ds:itemID="{FE73F9D7-26B4-4A40-AABD-A6C81627BEA7}">
  <ds:schemaRefs/>
</ds:datastoreItem>
</file>

<file path=customXml/itemProps18.xml><?xml version="1.0" encoding="utf-8"?>
<ds:datastoreItem xmlns:ds="http://schemas.openxmlformats.org/officeDocument/2006/customXml" ds:itemID="{EC31B506-2EE0-4BFC-9DE1-AFC42DE83CF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str.1</vt:lpstr>
      <vt:lpstr>section.1.1</vt:lpstr>
      <vt:lpstr>section.2.1.1</vt:lpstr>
      <vt:lpstr>Initial</vt:lpstr>
      <vt:lpstr>Income</vt:lpstr>
      <vt:lpstr>PivotIncome</vt:lpstr>
      <vt:lpstr>section.1.1!Print_Area</vt:lpstr>
      <vt:lpstr>section.2.1.1!Print_Area</vt:lpstr>
      <vt:lpstr>str.1!Print_Area</vt:lpstr>
    </vt:vector>
  </TitlesOfParts>
  <Company>КонсультантПлюс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ip-spravka.ru</dc:title>
  <dc:creator>ip-spravka.ru</dc:creator>
  <cp:lastModifiedBy>raul</cp:lastModifiedBy>
  <cp:lastPrinted>2019-03-13T13:32:42Z</cp:lastPrinted>
  <dcterms:created xsi:type="dcterms:W3CDTF">2009-02-04T07:40:11Z</dcterms:created>
  <dcterms:modified xsi:type="dcterms:W3CDTF">2021-03-21T16:18:39Z</dcterms:modified>
</cp:coreProperties>
</file>